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Analyst Folders\Wetherbee\Revenue Tracking\Sales Tax NAICS\Monthly Data for Tables\FY 2026\"/>
    </mc:Choice>
  </mc:AlternateContent>
  <xr:revisionPtr revIDLastSave="0" documentId="8_{ABD29653-4DE5-487F-9142-E9400CB5E8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of Contents" sheetId="2" r:id="rId1"/>
    <sheet name="FY 2004" sheetId="22" r:id="rId2"/>
    <sheet name="FY 2005" sheetId="21" r:id="rId3"/>
    <sheet name="FY 2006" sheetId="20" r:id="rId4"/>
    <sheet name="FY 2007" sheetId="19" r:id="rId5"/>
    <sheet name="FY 2008" sheetId="18" r:id="rId6"/>
    <sheet name="FY 2009" sheetId="17" r:id="rId7"/>
    <sheet name="FY 2010" sheetId="16" r:id="rId8"/>
    <sheet name="FY 2011" sheetId="15" r:id="rId9"/>
    <sheet name="FY 2012" sheetId="14" r:id="rId10"/>
    <sheet name="FY 2013" sheetId="13" r:id="rId11"/>
    <sheet name="FY 2014" sheetId="12" r:id="rId12"/>
    <sheet name="FY 2015" sheetId="11" r:id="rId13"/>
    <sheet name="FY 2016" sheetId="10" r:id="rId14"/>
    <sheet name="FY 2017" sheetId="9" r:id="rId15"/>
    <sheet name="FY 2018" sheetId="8" r:id="rId16"/>
    <sheet name="FY 2019" sheetId="7" r:id="rId17"/>
    <sheet name="FY 2020" sheetId="6" r:id="rId18"/>
    <sheet name="FY 2021" sheetId="5" r:id="rId19"/>
    <sheet name="FY 2022" sheetId="4" r:id="rId20"/>
    <sheet name="FY 2023" sheetId="3" r:id="rId21"/>
    <sheet name="FY 2024" sheetId="23" r:id="rId22"/>
    <sheet name="FY 2025" sheetId="24" r:id="rId23"/>
    <sheet name="FY 2026" sheetId="25" r:id="rId24"/>
  </sheets>
  <definedNames>
    <definedName name="TitleRegion1.A2.N18.FY2024">'FY 2024'!$A$2</definedName>
    <definedName name="TitleRegion1.A2.N18.FY2025" localSheetId="22">'FY 2025'!$A$2</definedName>
    <definedName name="TitleRegion1.A2.N18.FY2026" localSheetId="23">'FY 2026'!$A$2</definedName>
    <definedName name="TitleRegion1.A2.N18.sheet10">'FY 2012'!$A$2</definedName>
    <definedName name="TitleRegion1.A2.N18.sheet11">'FY 2013'!$A$2</definedName>
    <definedName name="TitleRegion1.A2.N18.sheet12">'FY 2014'!$A$2</definedName>
    <definedName name="TitleRegion1.A2.N18.sheet13">'FY 2015'!$A$2</definedName>
    <definedName name="TitleRegion1.A2.N18.sheet14">'FY 2016'!$A$2</definedName>
    <definedName name="TitleRegion1.A2.N18.sheet15">'FY 2017'!$A$2</definedName>
    <definedName name="TitleRegion1.A2.N18.sheet16">'FY 2018'!$A$2</definedName>
    <definedName name="TitleRegion1.A2.N18.sheet17">'FY 2019'!$A$2</definedName>
    <definedName name="TitleRegion1.A2.N18.sheet18">'FY 2020'!$A$2</definedName>
    <definedName name="TitleRegion1.A2.N18.sheet19">'FY 2021'!$A$2</definedName>
    <definedName name="TitleRegion1.A2.N18.sheet2">'FY 2004'!$A$2</definedName>
    <definedName name="TitleRegion1.A2.N18.sheet20">'FY 2022'!$A$2</definedName>
    <definedName name="TitleRegion1.A2.N18.sheet21">'FY 2023'!$A$2</definedName>
    <definedName name="TitleRegion1.A2.N18.sheet22" localSheetId="21">'FY 2024'!$A$2</definedName>
    <definedName name="TitleRegion1.A2.N18.sheet23" localSheetId="22">'FY 2025'!$A$2</definedName>
    <definedName name="TitleRegion1.A2.N18.sheet23" localSheetId="23">'FY 2026'!$A$2</definedName>
    <definedName name="TitleRegion1.A2.N18.sheet3">'FY 2005'!$A$2</definedName>
    <definedName name="TitleRegion1.A2.N18.sheet4">'FY 2006'!$A$2</definedName>
    <definedName name="TitleRegion1.A2.N18.sheet5">'FY 2007'!$A$2</definedName>
    <definedName name="TitleRegion1.A2.N18.sheet6">'FY 2008'!$A$2</definedName>
    <definedName name="TitleRegion1.A2.N18.sheet7">'FY 2009'!$A$2</definedName>
    <definedName name="TitleRegion1.A2.N18.sheet8">'FY 2010'!$A$2</definedName>
    <definedName name="TitleRegion1.A2.N18.sheet9">'FY 2011'!$A$2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" i="25" l="1"/>
  <c r="L18" i="25"/>
  <c r="K18" i="25"/>
  <c r="J18" i="25"/>
  <c r="I18" i="25"/>
  <c r="H18" i="25"/>
  <c r="G18" i="25"/>
  <c r="F18" i="25"/>
  <c r="E18" i="25"/>
  <c r="D18" i="25"/>
  <c r="C18" i="25"/>
  <c r="B18" i="25"/>
  <c r="N18" i="25"/>
  <c r="N17" i="25"/>
  <c r="N16" i="25"/>
  <c r="N15" i="25"/>
  <c r="N14" i="25"/>
  <c r="N13" i="25"/>
  <c r="N12" i="25"/>
  <c r="N11" i="25"/>
  <c r="N10" i="25"/>
  <c r="N9" i="25"/>
  <c r="N8" i="25"/>
  <c r="N7" i="25"/>
  <c r="N6" i="25"/>
  <c r="N5" i="25"/>
  <c r="N4" i="25"/>
  <c r="N3" i="25"/>
</calcChain>
</file>

<file path=xl/sharedStrings.xml><?xml version="1.0" encoding="utf-8"?>
<sst xmlns="http://schemas.openxmlformats.org/spreadsheetml/2006/main" count="789" uniqueCount="84">
  <si>
    <t xml:space="preserve"> September </t>
  </si>
  <si>
    <t xml:space="preserve"> October </t>
  </si>
  <si>
    <t xml:space="preserve"> November </t>
  </si>
  <si>
    <t xml:space="preserve"> December </t>
  </si>
  <si>
    <t xml:space="preserve"> January </t>
  </si>
  <si>
    <t xml:space="preserve"> February </t>
  </si>
  <si>
    <t xml:space="preserve"> March </t>
  </si>
  <si>
    <t xml:space="preserve"> April </t>
  </si>
  <si>
    <t xml:space="preserve"> May </t>
  </si>
  <si>
    <t xml:space="preserve"> June </t>
  </si>
  <si>
    <t xml:space="preserve"> July </t>
  </si>
  <si>
    <t xml:space="preserve"> August </t>
  </si>
  <si>
    <t xml:space="preserve"> Total </t>
  </si>
  <si>
    <t>Agriculture</t>
  </si>
  <si>
    <t>Mining</t>
  </si>
  <si>
    <t>Utilities</t>
  </si>
  <si>
    <t>Construction</t>
  </si>
  <si>
    <t>Manufacturing</t>
  </si>
  <si>
    <t>Wholesale Trade</t>
  </si>
  <si>
    <t>Retail Trade</t>
  </si>
  <si>
    <t>Transportation</t>
  </si>
  <si>
    <t>Information</t>
  </si>
  <si>
    <t>Finance and Insurance</t>
  </si>
  <si>
    <t>Real Estate, Rental and Leasing</t>
  </si>
  <si>
    <t>Services</t>
  </si>
  <si>
    <t>Eating and Drinking Places</t>
  </si>
  <si>
    <t>Public Administration</t>
  </si>
  <si>
    <t>No Code</t>
  </si>
  <si>
    <t>Total</t>
  </si>
  <si>
    <t>Table of Contents</t>
  </si>
  <si>
    <t>Fiscal Year 2004</t>
  </si>
  <si>
    <t>Fiscal Year 2005</t>
  </si>
  <si>
    <t>Fiscal Year 2006</t>
  </si>
  <si>
    <t>Fiscal Year 2007</t>
  </si>
  <si>
    <t>Fiscal Year 2008</t>
  </si>
  <si>
    <t>Fiscal Year 2009</t>
  </si>
  <si>
    <t>Fiscal Year 2010</t>
  </si>
  <si>
    <t>Fiscal Year 2011</t>
  </si>
  <si>
    <t>Fiscal Year 2012</t>
  </si>
  <si>
    <t>Fiscal Year 2013</t>
  </si>
  <si>
    <t>Fiscal Year 2014</t>
  </si>
  <si>
    <t>Fiscal Year 2015</t>
  </si>
  <si>
    <t>Fiscal Year 2016</t>
  </si>
  <si>
    <t>Fiscal Year 2017</t>
  </si>
  <si>
    <t>Fiscal Year 2018</t>
  </si>
  <si>
    <t>Fiscal Year 2019</t>
  </si>
  <si>
    <t>Fiscal Year 2020</t>
  </si>
  <si>
    <t>Fiscal Year 2021</t>
  </si>
  <si>
    <t>Fiscal Year 2022</t>
  </si>
  <si>
    <t>Fiscal Year 2023</t>
  </si>
  <si>
    <t>End of Worksheet</t>
  </si>
  <si>
    <t>Historical Sales Tax Revenue by Industry for Fiscal Year 2023</t>
  </si>
  <si>
    <t>Back to Table of Contents</t>
  </si>
  <si>
    <t>Industry Name</t>
  </si>
  <si>
    <t>Historical Sales Tax Revenue by Industry for Fiscal Year 2022</t>
  </si>
  <si>
    <t>Historical Sales Tax Revenue by Industry for Fiscal Year 2021</t>
  </si>
  <si>
    <t>Historical Sales Tax Revenue by Industry for Fiscal Year 2020</t>
  </si>
  <si>
    <t>Historical Sales Tax Revenue by Industry for Fiscal Year 2019</t>
  </si>
  <si>
    <t>Historical Sales Tax Revenue by Industry for Fiscal Year 2018</t>
  </si>
  <si>
    <t>Historical Sales Tax Revenue by Industry for Fiscal Year 2017</t>
  </si>
  <si>
    <t>Historical Sales Tax Revenue by Industry for Fiscal Year 2016</t>
  </si>
  <si>
    <t>Historical Sales Tax Revenue by Industry for Fiscal Year 2015</t>
  </si>
  <si>
    <t>Historical Sales Tax Revenue by Industry for Fiscal Year 2014</t>
  </si>
  <si>
    <t>Historical Sales Tax Revenue by Industry for Fiscal Year 2013</t>
  </si>
  <si>
    <t>Historical Sales Tax Revenue by Industry for Fiscal Year 2012</t>
  </si>
  <si>
    <t>Historical Sales Tax Revenue by Industry for Fiscal Year 2011</t>
  </si>
  <si>
    <t>Historical Sales Tax Revenue by Industry for Fiscal Year 2010</t>
  </si>
  <si>
    <t>Historical Sales Tax Revenue by Industry for Fiscal Year 2009</t>
  </si>
  <si>
    <t>Historical Sales Tax Revenue by Industry for Fiscal Year 2008</t>
  </si>
  <si>
    <t>Historical Sales Tax Revenue by Industry for Fiscal Year 2007</t>
  </si>
  <si>
    <t>Historical Sales Tax Revenue by Industry for Fiscal Year 2006</t>
  </si>
  <si>
    <t>Historical Sales Tax Revenue by Industry for Fiscal Year 2005</t>
  </si>
  <si>
    <t>Historical Sales Tax Revenue by Industry for Fiscal Year 2004</t>
  </si>
  <si>
    <t>Historical Sales Tax Revenue by Industry for Fiscal Year 2024</t>
  </si>
  <si>
    <t>Note: Data as of September 1, 2024.</t>
  </si>
  <si>
    <t>Fiscal Year 2024</t>
  </si>
  <si>
    <t>Historical Sales Tax Revenue by Industry for Fiscal Year 2025</t>
  </si>
  <si>
    <t>Fiscal Year 2025</t>
  </si>
  <si>
    <t>Note: Data as of September 1, 2023.</t>
  </si>
  <si>
    <t>Note: Data as of September 1, 2025.</t>
  </si>
  <si>
    <t>Historical  Sales Tax Data by Industry FY 2004-2026</t>
  </si>
  <si>
    <t>Fiscal Year 2026</t>
  </si>
  <si>
    <t>Note: Data as of September 1, 2026.</t>
  </si>
  <si>
    <t>Historical Sales Tax Revenue by Industry for Fiscal Year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</si>
</sst>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u/>
      <sz val="12"/>
      <color theme="10"/>
      <name val="Arial"/>
      <family val="2"/>
    </font>
    <font>
      <sz val="12"/>
      <color theme="1"/>
      <name val="Arial"/>
      <family val="2"/>
    </font>
    <font>
      <sz val="12"/>
      <color theme="0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0" fillId="33" borderId="0" xfId="0" applyFont="1" applyFill="1"/>
    <xf numFmtId="0" fontId="21" fillId="0" borderId="0" xfId="0" applyFont="1"/>
    <xf numFmtId="0" fontId="22" fillId="0" borderId="0" xfId="42" applyFont="1"/>
    <xf numFmtId="0" fontId="23" fillId="0" borderId="0" xfId="0" applyFont="1"/>
    <xf numFmtId="3" fontId="23" fillId="0" borderId="0" xfId="0" applyNumberFormat="1" applyFont="1"/>
    <xf numFmtId="0" fontId="23" fillId="0" borderId="0" xfId="0" applyFont="1" applyAlignment="1">
      <alignment wrapText="1"/>
    </xf>
    <xf numFmtId="43" fontId="21" fillId="0" borderId="0" xfId="43" applyFont="1"/>
    <xf numFmtId="3" fontId="23" fillId="0" borderId="0" xfId="0" applyNumberFormat="1" applyFont="1" applyAlignment="1">
      <alignment wrapText="1"/>
    </xf>
    <xf numFmtId="0" fontId="25" fillId="33" borderId="0" xfId="0" applyFont="1" applyFill="1"/>
    <xf numFmtId="0" fontId="26" fillId="0" borderId="0" xfId="0" applyFont="1"/>
    <xf numFmtId="0" fontId="23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25" fillId="33" borderId="0" xfId="0" applyFont="1" applyFill="1" applyAlignment="1">
      <alignment horizontal="center"/>
    </xf>
    <xf numFmtId="0" fontId="22" fillId="0" borderId="0" xfId="42" applyFont="1" applyAlignment="1">
      <alignment horizontal="left"/>
    </xf>
    <xf numFmtId="0" fontId="23" fillId="0" borderId="0" xfId="0" applyFont="1" applyAlignment="1">
      <alignment horizontal="left" wrapText="1"/>
    </xf>
    <xf numFmtId="0" fontId="22" fillId="0" borderId="0" xfId="42" applyFont="1" applyAlignment="1">
      <alignment horizontal="left" wrapText="1"/>
    </xf>
    <xf numFmtId="0" fontId="24" fillId="0" borderId="0" xfId="0" applyFont="1" applyAlignment="1">
      <alignment horizontal="left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3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N26"/>
  <sheetViews>
    <sheetView tabSelected="1" workbookViewId="0"/>
  </sheetViews>
  <sheetFormatPr defaultColWidth="0" defaultRowHeight="14.25" zeroHeight="1" x14ac:dyDescent="0.2"/>
  <cols>
    <col min="1" max="1" width="70.7109375" style="2" customWidth="1"/>
    <col min="2" max="16384" width="8.85546875" style="2" hidden="1"/>
  </cols>
  <sheetData>
    <row r="1" spans="1:1" s="10" customFormat="1" ht="18" x14ac:dyDescent="0.25">
      <c r="A1" s="9" t="s">
        <v>80</v>
      </c>
    </row>
    <row r="2" spans="1:1" ht="15.75" x14ac:dyDescent="0.25">
      <c r="A2" s="1" t="s">
        <v>29</v>
      </c>
    </row>
    <row r="3" spans="1:1" ht="15" x14ac:dyDescent="0.2">
      <c r="A3" s="3" t="s">
        <v>30</v>
      </c>
    </row>
    <row r="4" spans="1:1" ht="15" x14ac:dyDescent="0.2">
      <c r="A4" s="3" t="s">
        <v>31</v>
      </c>
    </row>
    <row r="5" spans="1:1" ht="15" x14ac:dyDescent="0.2">
      <c r="A5" s="3" t="s">
        <v>32</v>
      </c>
    </row>
    <row r="6" spans="1:1" ht="15" x14ac:dyDescent="0.2">
      <c r="A6" s="3" t="s">
        <v>33</v>
      </c>
    </row>
    <row r="7" spans="1:1" ht="15" x14ac:dyDescent="0.2">
      <c r="A7" s="3" t="s">
        <v>34</v>
      </c>
    </row>
    <row r="8" spans="1:1" ht="15" x14ac:dyDescent="0.2">
      <c r="A8" s="3" t="s">
        <v>35</v>
      </c>
    </row>
    <row r="9" spans="1:1" ht="15" x14ac:dyDescent="0.2">
      <c r="A9" s="3" t="s">
        <v>36</v>
      </c>
    </row>
    <row r="10" spans="1:1" ht="15" x14ac:dyDescent="0.2">
      <c r="A10" s="3" t="s">
        <v>37</v>
      </c>
    </row>
    <row r="11" spans="1:1" ht="15" x14ac:dyDescent="0.2">
      <c r="A11" s="3" t="s">
        <v>38</v>
      </c>
    </row>
    <row r="12" spans="1:1" ht="15" x14ac:dyDescent="0.2">
      <c r="A12" s="3" t="s">
        <v>39</v>
      </c>
    </row>
    <row r="13" spans="1:1" ht="15" x14ac:dyDescent="0.2">
      <c r="A13" s="3" t="s">
        <v>40</v>
      </c>
    </row>
    <row r="14" spans="1:1" ht="15" x14ac:dyDescent="0.2">
      <c r="A14" s="3" t="s">
        <v>41</v>
      </c>
    </row>
    <row r="15" spans="1:1" ht="15" x14ac:dyDescent="0.2">
      <c r="A15" s="3" t="s">
        <v>42</v>
      </c>
    </row>
    <row r="16" spans="1:1" ht="15" x14ac:dyDescent="0.2">
      <c r="A16" s="3" t="s">
        <v>43</v>
      </c>
    </row>
    <row r="17" spans="1:14" ht="15" x14ac:dyDescent="0.2">
      <c r="A17" s="3" t="s">
        <v>44</v>
      </c>
    </row>
    <row r="18" spans="1:14" ht="15" x14ac:dyDescent="0.2">
      <c r="A18" s="3" t="s">
        <v>45</v>
      </c>
    </row>
    <row r="19" spans="1:14" ht="15" x14ac:dyDescent="0.2">
      <c r="A19" s="3" t="s">
        <v>46</v>
      </c>
    </row>
    <row r="20" spans="1:14" ht="15" x14ac:dyDescent="0.2">
      <c r="A20" s="3" t="s">
        <v>47</v>
      </c>
    </row>
    <row r="21" spans="1:14" ht="15" x14ac:dyDescent="0.2">
      <c r="A21" s="3" t="s">
        <v>48</v>
      </c>
    </row>
    <row r="22" spans="1:14" ht="15" x14ac:dyDescent="0.2">
      <c r="A22" s="3" t="s">
        <v>49</v>
      </c>
    </row>
    <row r="23" spans="1:14" ht="15" x14ac:dyDescent="0.2">
      <c r="A23" s="3" t="s">
        <v>75</v>
      </c>
    </row>
    <row r="24" spans="1:14" ht="15" x14ac:dyDescent="0.2">
      <c r="A24" s="3" t="s">
        <v>77</v>
      </c>
    </row>
    <row r="25" spans="1:14" ht="15" x14ac:dyDescent="0.2">
      <c r="A25" s="3" t="s">
        <v>81</v>
      </c>
    </row>
    <row r="26" spans="1:14" ht="15" x14ac:dyDescent="0.2">
      <c r="A26" s="11" t="s">
        <v>50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</sheetData>
  <mergeCells count="1">
    <mergeCell ref="A26:N26"/>
  </mergeCells>
  <phoneticPr fontId="18" type="noConversion"/>
  <hyperlinks>
    <hyperlink ref="A22" location="'FY 2023'!A1" display="Fiscal Year 2023" xr:uid="{00000000-0004-0000-0100-000000000000}"/>
    <hyperlink ref="A21" location="'FY 2022'!A1" display="Fiscal Year 2022" xr:uid="{803369DA-5069-4DBF-9235-C53DF4E52DA4}"/>
    <hyperlink ref="A20" location="'FY 2021'!A1" display="Fiscal Year 2021" xr:uid="{4CA0174F-27A1-4530-9397-6988F0940A1A}"/>
    <hyperlink ref="A19" location="'FY 2020'!A1" display="Fiscal Year 2020" xr:uid="{F8B59F7F-4DE5-4EAE-8DE5-07987BE897C6}"/>
    <hyperlink ref="A18" location="'FY 2019'!A1" display="Fiscal Year 2019" xr:uid="{8E0AFB8D-CD81-4793-BF17-7C2AA97D5BA6}"/>
    <hyperlink ref="A17" location="'FY 2018'!A1" display="Fiscal Year 2018" xr:uid="{1549143C-A4B3-4C8E-8ECD-07810BC61099}"/>
    <hyperlink ref="A16" location="'FY 2017'!A1" display="Fiscal Year 2017" xr:uid="{2E14D78D-CC05-4F44-9DE5-E8ADBA9F3E40}"/>
    <hyperlink ref="A15" location="'FY 2016'!A1" display="Fiscal Year 2016" xr:uid="{6AC76746-878E-45A4-AC74-0AEB9DDC7D4D}"/>
    <hyperlink ref="A14" location="'FY 2015'!A1" display="Fiscal Year 2015" xr:uid="{724BB62D-9BF1-4679-8D8D-B8C907E14DB2}"/>
    <hyperlink ref="A13" location="'FY 2014'!A1" display="Fiscal Year 2014" xr:uid="{1726B41D-C138-479D-8779-FBC22392AEBD}"/>
    <hyperlink ref="A12" location="'FY 2013'!A1" display="Fiscal Year 2013" xr:uid="{E292263D-25F2-4885-8D4B-48EC803AFB78}"/>
    <hyperlink ref="A11" location="'FY 2012'!A1" display="Fiscal Year 2012" xr:uid="{835041DC-7BDE-4759-BF4E-E10C42EEE5AE}"/>
    <hyperlink ref="A10" location="'FY 2011'!A1" display="Fiscal Year 2011" xr:uid="{9CCF4059-F5C2-4015-BEBA-B62F898CE20A}"/>
    <hyperlink ref="A9" location="'FY 2010'!A1" display="Fiscal Year 2010" xr:uid="{A3A6D114-B6CA-4A02-A2A3-C18D174482CC}"/>
    <hyperlink ref="A8" location="'FY 2009'!A1" display="Fiscal Year 2009" xr:uid="{47CCB09E-C8BF-4BE5-AFC2-D3610E0906B9}"/>
    <hyperlink ref="A7" location="'FY 2008'!A1" display="Fiscal Year 2008" xr:uid="{9BCD137C-B69D-4B68-B857-F06D0D86FD56}"/>
    <hyperlink ref="A6" location="'FY 2007'!A1" display="Fiscal Year 2007" xr:uid="{5EE9882F-E771-4904-B226-33F71E897B90}"/>
    <hyperlink ref="A5" location="'FY 2006'!A1" display="Fiscal Year 2006" xr:uid="{4C9B478A-CD41-423E-B121-EA43BA1BC376}"/>
    <hyperlink ref="A4" location="'FY 2005'!A1" display="Fiscal Year 2005" xr:uid="{C9677CD5-40E5-4AF4-A63D-1EBB98BB21A7}"/>
    <hyperlink ref="A3" location="'FY 2004'!A1" display="Fiscal Year 2004" xr:uid="{5CDA3CD4-C1D7-42A8-8F5C-76F7CC72963D}"/>
    <hyperlink ref="A23" location="'FY 2024'!A1" display="Fiscal Year 2024" xr:uid="{6AD1EF50-A565-43C6-8A39-268080B2D6A1}"/>
    <hyperlink ref="A24" location="'FY 2025'!A1" display="Fiscal Year 2025" xr:uid="{B71EC2AC-878F-4FA6-92B4-0ED80FFF15BC}"/>
    <hyperlink ref="A25" location="'FY 2026'!A1" display="Fiscal Year 2026" xr:uid="{FAD7AB5F-6D43-4A71-A0C8-37A1173ACAE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D5020-A2D2-4CAC-96CE-85D7F455108A}">
  <sheetPr codeName="Sheet2"/>
  <dimension ref="A1:N20"/>
  <sheetViews>
    <sheetView workbookViewId="0">
      <selection sqref="A1:N1"/>
    </sheetView>
  </sheetViews>
  <sheetFormatPr defaultColWidth="0" defaultRowHeight="0" customHeight="1" zeroHeight="1" x14ac:dyDescent="0.2"/>
  <cols>
    <col min="1" max="1" width="27.7109375" style="2" customWidth="1"/>
    <col min="2" max="2" width="16.140625" style="2" customWidth="1"/>
    <col min="3" max="3" width="15.5703125" style="2" customWidth="1"/>
    <col min="4" max="4" width="16.42578125" style="2" customWidth="1"/>
    <col min="5" max="5" width="16.28515625" style="2" customWidth="1"/>
    <col min="6" max="7" width="15.5703125" style="2" customWidth="1"/>
    <col min="8" max="8" width="16.42578125" style="2" customWidth="1"/>
    <col min="9" max="9" width="15.5703125" style="2" customWidth="1"/>
    <col min="10" max="10" width="16" style="2" customWidth="1"/>
    <col min="11" max="12" width="16" style="2" bestFit="1" customWidth="1"/>
    <col min="13" max="13" width="17.140625" style="2" customWidth="1"/>
    <col min="14" max="14" width="17.28515625" style="2" bestFit="1" customWidth="1"/>
    <col min="15" max="16384" width="8.85546875" style="2" hidden="1"/>
  </cols>
  <sheetData>
    <row r="1" spans="1:14" s="10" customFormat="1" ht="18" x14ac:dyDescent="0.25">
      <c r="A1" s="13" t="s">
        <v>72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5.75" x14ac:dyDescent="0.25">
      <c r="A2" s="1" t="s">
        <v>53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</row>
    <row r="3" spans="1:14" ht="15" x14ac:dyDescent="0.2">
      <c r="A3" s="4" t="s">
        <v>13</v>
      </c>
      <c r="B3" s="5">
        <v>495392</v>
      </c>
      <c r="C3" s="5">
        <v>732141</v>
      </c>
      <c r="D3" s="5">
        <v>578620</v>
      </c>
      <c r="E3" s="5">
        <v>485357</v>
      </c>
      <c r="F3" s="5">
        <v>850403</v>
      </c>
      <c r="G3" s="5">
        <v>519112</v>
      </c>
      <c r="H3" s="5">
        <v>529476</v>
      </c>
      <c r="I3" s="5">
        <v>1021061</v>
      </c>
      <c r="J3" s="5">
        <v>658611</v>
      </c>
      <c r="K3" s="5">
        <v>771755</v>
      </c>
      <c r="L3" s="5">
        <v>718089</v>
      </c>
      <c r="M3" s="5">
        <v>596620</v>
      </c>
      <c r="N3" s="5">
        <v>7956637</v>
      </c>
    </row>
    <row r="4" spans="1:14" ht="15" x14ac:dyDescent="0.2">
      <c r="A4" s="4" t="s">
        <v>14</v>
      </c>
      <c r="B4" s="5">
        <v>22423343</v>
      </c>
      <c r="C4" s="5">
        <v>20112576</v>
      </c>
      <c r="D4" s="5">
        <v>20013155</v>
      </c>
      <c r="E4" s="5">
        <v>16140867</v>
      </c>
      <c r="F4" s="5">
        <v>26830840</v>
      </c>
      <c r="G4" s="5">
        <v>16235409</v>
      </c>
      <c r="H4" s="5">
        <v>15613884</v>
      </c>
      <c r="I4" s="5">
        <v>23561855</v>
      </c>
      <c r="J4" s="5">
        <v>15201351</v>
      </c>
      <c r="K4" s="5">
        <v>17655683</v>
      </c>
      <c r="L4" s="5">
        <v>20666529</v>
      </c>
      <c r="M4" s="5">
        <v>20100278</v>
      </c>
      <c r="N4" s="5">
        <v>234555770</v>
      </c>
    </row>
    <row r="5" spans="1:14" ht="15" x14ac:dyDescent="0.2">
      <c r="A5" s="4" t="s">
        <v>15</v>
      </c>
      <c r="B5" s="5">
        <v>20989629</v>
      </c>
      <c r="C5" s="5">
        <v>28431573</v>
      </c>
      <c r="D5" s="5">
        <v>23875256</v>
      </c>
      <c r="E5" s="5">
        <v>42540952</v>
      </c>
      <c r="F5" s="5">
        <v>30166708</v>
      </c>
      <c r="G5" s="5">
        <v>31536853</v>
      </c>
      <c r="H5" s="5">
        <v>40307649</v>
      </c>
      <c r="I5" s="5">
        <v>22890978</v>
      </c>
      <c r="J5" s="5">
        <v>49415155</v>
      </c>
      <c r="K5" s="5">
        <v>18884421</v>
      </c>
      <c r="L5" s="5">
        <v>27090496</v>
      </c>
      <c r="M5" s="5">
        <v>64456161</v>
      </c>
      <c r="N5" s="5">
        <v>400585831</v>
      </c>
    </row>
    <row r="6" spans="1:14" ht="15" x14ac:dyDescent="0.2">
      <c r="A6" s="4" t="s">
        <v>16</v>
      </c>
      <c r="B6" s="5">
        <v>39535158</v>
      </c>
      <c r="C6" s="5">
        <v>45675485</v>
      </c>
      <c r="D6" s="5">
        <v>42026695</v>
      </c>
      <c r="E6" s="5">
        <v>38292475</v>
      </c>
      <c r="F6" s="5">
        <v>52259289</v>
      </c>
      <c r="G6" s="5">
        <v>39609035</v>
      </c>
      <c r="H6" s="5">
        <v>43785753</v>
      </c>
      <c r="I6" s="5">
        <v>49353020</v>
      </c>
      <c r="J6" s="5">
        <v>43278121</v>
      </c>
      <c r="K6" s="5">
        <v>42683184</v>
      </c>
      <c r="L6" s="5">
        <v>50461343</v>
      </c>
      <c r="M6" s="5">
        <v>45576488</v>
      </c>
      <c r="N6" s="5">
        <v>532536046</v>
      </c>
    </row>
    <row r="7" spans="1:14" ht="15" x14ac:dyDescent="0.2">
      <c r="A7" s="4" t="s">
        <v>17</v>
      </c>
      <c r="B7" s="5">
        <v>80366196</v>
      </c>
      <c r="C7" s="5">
        <v>100429151</v>
      </c>
      <c r="D7" s="5">
        <v>114607037</v>
      </c>
      <c r="E7" s="5">
        <v>92898710</v>
      </c>
      <c r="F7" s="5">
        <v>108259396</v>
      </c>
      <c r="G7" s="5">
        <v>103642301</v>
      </c>
      <c r="H7" s="5">
        <v>85179199</v>
      </c>
      <c r="I7" s="5">
        <v>125833064</v>
      </c>
      <c r="J7" s="5">
        <v>102467820</v>
      </c>
      <c r="K7" s="5">
        <v>91943395</v>
      </c>
      <c r="L7" s="5">
        <v>97445258</v>
      </c>
      <c r="M7" s="5">
        <v>114739334</v>
      </c>
      <c r="N7" s="5">
        <v>1217810861</v>
      </c>
    </row>
    <row r="8" spans="1:14" ht="15" x14ac:dyDescent="0.2">
      <c r="A8" s="4" t="s">
        <v>18</v>
      </c>
      <c r="B8" s="5">
        <v>93787046</v>
      </c>
      <c r="C8" s="5">
        <v>94067655</v>
      </c>
      <c r="D8" s="5">
        <v>100618402</v>
      </c>
      <c r="E8" s="5">
        <v>94706154</v>
      </c>
      <c r="F8" s="5">
        <v>103130706</v>
      </c>
      <c r="G8" s="5">
        <v>100090075</v>
      </c>
      <c r="H8" s="5">
        <v>82922058</v>
      </c>
      <c r="I8" s="5">
        <v>114511695</v>
      </c>
      <c r="J8" s="5">
        <v>113467606</v>
      </c>
      <c r="K8" s="5">
        <v>97832878</v>
      </c>
      <c r="L8" s="5">
        <v>109750803</v>
      </c>
      <c r="M8" s="5">
        <v>123753151</v>
      </c>
      <c r="N8" s="5">
        <v>1228638229</v>
      </c>
    </row>
    <row r="9" spans="1:14" ht="15" x14ac:dyDescent="0.2">
      <c r="A9" s="4" t="s">
        <v>19</v>
      </c>
      <c r="B9" s="5">
        <v>465192073</v>
      </c>
      <c r="C9" s="5">
        <v>464570884</v>
      </c>
      <c r="D9" s="5">
        <v>541627488</v>
      </c>
      <c r="E9" s="5">
        <v>675308510</v>
      </c>
      <c r="F9" s="5">
        <v>513996736</v>
      </c>
      <c r="G9" s="5">
        <v>521837075</v>
      </c>
      <c r="H9" s="5">
        <v>530832086</v>
      </c>
      <c r="I9" s="5">
        <v>557080176</v>
      </c>
      <c r="J9" s="5">
        <v>565182053</v>
      </c>
      <c r="K9" s="5">
        <v>492694409</v>
      </c>
      <c r="L9" s="5">
        <v>484213635</v>
      </c>
      <c r="M9" s="5">
        <v>587856441</v>
      </c>
      <c r="N9" s="5">
        <v>6400391566</v>
      </c>
    </row>
    <row r="10" spans="1:14" ht="15" x14ac:dyDescent="0.2">
      <c r="A10" s="4" t="s">
        <v>20</v>
      </c>
      <c r="B10" s="5">
        <v>5198926</v>
      </c>
      <c r="C10" s="5">
        <v>5076282</v>
      </c>
      <c r="D10" s="5">
        <v>5096058</v>
      </c>
      <c r="E10" s="5">
        <v>4680421</v>
      </c>
      <c r="F10" s="5">
        <v>5898212</v>
      </c>
      <c r="G10" s="5">
        <v>5903217</v>
      </c>
      <c r="H10" s="5">
        <v>5690996</v>
      </c>
      <c r="I10" s="5">
        <v>9764661</v>
      </c>
      <c r="J10" s="5">
        <v>5552568</v>
      </c>
      <c r="K10" s="5">
        <v>5258584</v>
      </c>
      <c r="L10" s="5">
        <v>6075682</v>
      </c>
      <c r="M10" s="5">
        <v>5245172</v>
      </c>
      <c r="N10" s="5">
        <v>69440779</v>
      </c>
    </row>
    <row r="11" spans="1:14" ht="15" x14ac:dyDescent="0.2">
      <c r="A11" s="4" t="s">
        <v>21</v>
      </c>
      <c r="B11" s="5">
        <v>118345207</v>
      </c>
      <c r="C11" s="5">
        <v>129456851</v>
      </c>
      <c r="D11" s="5">
        <v>123553172</v>
      </c>
      <c r="E11" s="5">
        <v>126756189</v>
      </c>
      <c r="F11" s="5">
        <v>137548373</v>
      </c>
      <c r="G11" s="5">
        <v>130898498</v>
      </c>
      <c r="H11" s="5">
        <v>136793109</v>
      </c>
      <c r="I11" s="5">
        <v>161926400</v>
      </c>
      <c r="J11" s="5">
        <v>125470370</v>
      </c>
      <c r="K11" s="5">
        <v>124908156</v>
      </c>
      <c r="L11" s="5">
        <v>141823933</v>
      </c>
      <c r="M11" s="5">
        <v>136820252</v>
      </c>
      <c r="N11" s="5">
        <v>1594300510</v>
      </c>
    </row>
    <row r="12" spans="1:14" ht="15" x14ac:dyDescent="0.2">
      <c r="A12" s="4" t="s">
        <v>22</v>
      </c>
      <c r="B12" s="5">
        <v>9715906</v>
      </c>
      <c r="C12" s="5">
        <v>11393318</v>
      </c>
      <c r="D12" s="5">
        <v>10554956</v>
      </c>
      <c r="E12" s="5">
        <v>10070974</v>
      </c>
      <c r="F12" s="5">
        <v>12703394</v>
      </c>
      <c r="G12" s="5">
        <v>13502226</v>
      </c>
      <c r="H12" s="5">
        <v>9859752</v>
      </c>
      <c r="I12" s="5">
        <v>34341250</v>
      </c>
      <c r="J12" s="5">
        <v>10490077</v>
      </c>
      <c r="K12" s="5">
        <v>8659949</v>
      </c>
      <c r="L12" s="5">
        <v>9650565</v>
      </c>
      <c r="M12" s="5">
        <v>10336044</v>
      </c>
      <c r="N12" s="5">
        <v>151278411</v>
      </c>
    </row>
    <row r="13" spans="1:14" ht="15" x14ac:dyDescent="0.2">
      <c r="A13" s="4" t="s">
        <v>23</v>
      </c>
      <c r="B13" s="5">
        <v>29107598</v>
      </c>
      <c r="C13" s="5">
        <v>30263171</v>
      </c>
      <c r="D13" s="5">
        <v>36236062</v>
      </c>
      <c r="E13" s="5">
        <v>34138435</v>
      </c>
      <c r="F13" s="5">
        <v>36412734</v>
      </c>
      <c r="G13" s="5">
        <v>34159163</v>
      </c>
      <c r="H13" s="5">
        <v>30618717</v>
      </c>
      <c r="I13" s="5">
        <v>38330947</v>
      </c>
      <c r="J13" s="5">
        <v>33489037</v>
      </c>
      <c r="K13" s="5">
        <v>30983525</v>
      </c>
      <c r="L13" s="5">
        <v>33634568</v>
      </c>
      <c r="M13" s="5">
        <v>35328561</v>
      </c>
      <c r="N13" s="5">
        <v>402702518</v>
      </c>
    </row>
    <row r="14" spans="1:14" ht="15" x14ac:dyDescent="0.2">
      <c r="A14" s="4" t="s">
        <v>24</v>
      </c>
      <c r="B14" s="5">
        <v>102458391</v>
      </c>
      <c r="C14" s="5">
        <v>127151989</v>
      </c>
      <c r="D14" s="5">
        <v>111074302</v>
      </c>
      <c r="E14" s="5">
        <v>105252484</v>
      </c>
      <c r="F14" s="5">
        <v>139404892</v>
      </c>
      <c r="G14" s="5">
        <v>110919360</v>
      </c>
      <c r="H14" s="5">
        <v>103691378</v>
      </c>
      <c r="I14" s="5">
        <v>161393127</v>
      </c>
      <c r="J14" s="5">
        <v>115862111</v>
      </c>
      <c r="K14" s="5">
        <v>110173648</v>
      </c>
      <c r="L14" s="5">
        <v>140851145</v>
      </c>
      <c r="M14" s="5">
        <v>121885783</v>
      </c>
      <c r="N14" s="5">
        <v>1450118610</v>
      </c>
    </row>
    <row r="15" spans="1:14" ht="15" x14ac:dyDescent="0.2">
      <c r="A15" s="4" t="s">
        <v>25</v>
      </c>
      <c r="B15" s="5">
        <v>117039074</v>
      </c>
      <c r="C15" s="5">
        <v>114921051</v>
      </c>
      <c r="D15" s="5">
        <v>111466153</v>
      </c>
      <c r="E15" s="5">
        <v>118500897</v>
      </c>
      <c r="F15" s="5">
        <v>122986603</v>
      </c>
      <c r="G15" s="5">
        <v>124765116</v>
      </c>
      <c r="H15" s="5">
        <v>116005312</v>
      </c>
      <c r="I15" s="5">
        <v>129911658</v>
      </c>
      <c r="J15" s="5">
        <v>129342766</v>
      </c>
      <c r="K15" s="5">
        <v>126921152</v>
      </c>
      <c r="L15" s="5">
        <v>124715392</v>
      </c>
      <c r="M15" s="5">
        <v>137415321</v>
      </c>
      <c r="N15" s="5">
        <v>1473990495</v>
      </c>
    </row>
    <row r="16" spans="1:14" ht="15" x14ac:dyDescent="0.2">
      <c r="A16" s="4" t="s">
        <v>26</v>
      </c>
      <c r="B16" s="5">
        <v>8416425</v>
      </c>
      <c r="C16" s="5">
        <v>8277069</v>
      </c>
      <c r="D16" s="5">
        <v>7914224</v>
      </c>
      <c r="E16" s="5">
        <v>7202548</v>
      </c>
      <c r="F16" s="5">
        <v>7855122</v>
      </c>
      <c r="G16" s="5">
        <v>7729194</v>
      </c>
      <c r="H16" s="5">
        <v>7492287</v>
      </c>
      <c r="I16" s="5">
        <v>8097899</v>
      </c>
      <c r="J16" s="5">
        <v>7690998</v>
      </c>
      <c r="K16" s="5">
        <v>8047733</v>
      </c>
      <c r="L16" s="5">
        <v>8849812</v>
      </c>
      <c r="M16" s="5">
        <v>9170904</v>
      </c>
      <c r="N16" s="5">
        <v>96744215</v>
      </c>
    </row>
    <row r="17" spans="1:14" ht="15" x14ac:dyDescent="0.2">
      <c r="A17" s="4" t="s">
        <v>27</v>
      </c>
      <c r="B17" s="5">
        <v>5902687</v>
      </c>
      <c r="C17" s="5">
        <v>8178179</v>
      </c>
      <c r="D17" s="5">
        <v>6142807</v>
      </c>
      <c r="E17" s="5">
        <v>5155570</v>
      </c>
      <c r="F17" s="5">
        <v>9847552</v>
      </c>
      <c r="G17" s="5">
        <v>5323149</v>
      </c>
      <c r="H17" s="5">
        <v>5418765</v>
      </c>
      <c r="I17" s="5">
        <v>9791092</v>
      </c>
      <c r="J17" s="5">
        <v>5604030</v>
      </c>
      <c r="K17" s="5">
        <v>5145973</v>
      </c>
      <c r="L17" s="5">
        <v>8863059</v>
      </c>
      <c r="M17" s="5">
        <v>5380745</v>
      </c>
      <c r="N17" s="5">
        <v>80753608</v>
      </c>
    </row>
    <row r="18" spans="1:14" ht="15" x14ac:dyDescent="0.2">
      <c r="A18" s="4" t="s">
        <v>28</v>
      </c>
      <c r="B18" s="5">
        <v>1118973051</v>
      </c>
      <c r="C18" s="5">
        <v>1188737375</v>
      </c>
      <c r="D18" s="5">
        <v>1255384387</v>
      </c>
      <c r="E18" s="5">
        <v>1372130543</v>
      </c>
      <c r="F18" s="5">
        <v>1308150960</v>
      </c>
      <c r="G18" s="5">
        <v>1246669783</v>
      </c>
      <c r="H18" s="5">
        <v>1214740421</v>
      </c>
      <c r="I18" s="5">
        <v>1447808883</v>
      </c>
      <c r="J18" s="5">
        <v>1323172674</v>
      </c>
      <c r="K18" s="5">
        <v>1182564445</v>
      </c>
      <c r="L18" s="5">
        <v>1264810309</v>
      </c>
      <c r="M18" s="5">
        <v>1418661255</v>
      </c>
      <c r="N18" s="5">
        <v>15341804086</v>
      </c>
    </row>
    <row r="19" spans="1:14" ht="15" x14ac:dyDescent="0.2">
      <c r="A19" s="14" t="s">
        <v>52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ht="15" x14ac:dyDescent="0.2">
      <c r="A20" s="11" t="s">
        <v>50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</sheetData>
  <mergeCells count="3">
    <mergeCell ref="A1:N1"/>
    <mergeCell ref="A19:N19"/>
    <mergeCell ref="A20:N20"/>
  </mergeCells>
  <hyperlinks>
    <hyperlink ref="A19:N19" location="'Table of Contents'!A3" display="Back to Table of Contents" xr:uid="{4E76AC25-2197-4A66-B956-AECBF4AA22F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EE48F-3093-4B56-A147-709B290F5D10}">
  <sheetPr codeName="Sheet3"/>
  <dimension ref="A1:N20"/>
  <sheetViews>
    <sheetView workbookViewId="0">
      <selection sqref="A1:N1"/>
    </sheetView>
  </sheetViews>
  <sheetFormatPr defaultColWidth="0" defaultRowHeight="0" customHeight="1" zeroHeight="1" x14ac:dyDescent="0.2"/>
  <cols>
    <col min="1" max="1" width="27.7109375" style="4" customWidth="1"/>
    <col min="2" max="2" width="16.140625" style="4" customWidth="1"/>
    <col min="3" max="3" width="15.5703125" style="4" customWidth="1"/>
    <col min="4" max="4" width="17.28515625" style="4" customWidth="1"/>
    <col min="5" max="5" width="16.5703125" style="4" customWidth="1"/>
    <col min="6" max="6" width="15.5703125" style="4" customWidth="1"/>
    <col min="7" max="7" width="16" style="4" customWidth="1"/>
    <col min="8" max="8" width="15.5703125" style="4" customWidth="1"/>
    <col min="9" max="9" width="18.140625" style="4" customWidth="1"/>
    <col min="10" max="10" width="16.42578125" style="4" customWidth="1"/>
    <col min="11" max="12" width="16" style="4" bestFit="1" customWidth="1"/>
    <col min="13" max="13" width="16.28515625" style="4" customWidth="1"/>
    <col min="14" max="14" width="17.28515625" style="4" bestFit="1" customWidth="1"/>
    <col min="15" max="16384" width="8.85546875" style="2" hidden="1"/>
  </cols>
  <sheetData>
    <row r="1" spans="1:14" s="10" customFormat="1" ht="18" x14ac:dyDescent="0.25">
      <c r="A1" s="13" t="s">
        <v>71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5.75" x14ac:dyDescent="0.25">
      <c r="A2" s="1" t="s">
        <v>53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</row>
    <row r="3" spans="1:14" ht="15" x14ac:dyDescent="0.2">
      <c r="A3" s="4" t="s">
        <v>13</v>
      </c>
      <c r="B3" s="5">
        <v>540922</v>
      </c>
      <c r="C3" s="5">
        <v>685583</v>
      </c>
      <c r="D3" s="5">
        <v>582261</v>
      </c>
      <c r="E3" s="5">
        <v>428097</v>
      </c>
      <c r="F3" s="5">
        <v>901849</v>
      </c>
      <c r="G3" s="5">
        <v>363820</v>
      </c>
      <c r="H3" s="5">
        <v>494561</v>
      </c>
      <c r="I3" s="5">
        <v>792901</v>
      </c>
      <c r="J3" s="5">
        <v>892315</v>
      </c>
      <c r="K3" s="5">
        <v>1663217</v>
      </c>
      <c r="L3" s="5">
        <v>1304856</v>
      </c>
      <c r="M3" s="5">
        <v>625323</v>
      </c>
      <c r="N3" s="5">
        <v>9275705</v>
      </c>
    </row>
    <row r="4" spans="1:14" ht="15" x14ac:dyDescent="0.2">
      <c r="A4" s="4" t="s">
        <v>14</v>
      </c>
      <c r="B4" s="5">
        <v>23061312</v>
      </c>
      <c r="C4" s="5">
        <v>26267540</v>
      </c>
      <c r="D4" s="5">
        <v>23678394</v>
      </c>
      <c r="E4" s="5">
        <v>25786559</v>
      </c>
      <c r="F4" s="5">
        <v>32819053</v>
      </c>
      <c r="G4" s="5">
        <v>24707063</v>
      </c>
      <c r="H4" s="5">
        <v>27285079</v>
      </c>
      <c r="I4" s="5">
        <v>24242506</v>
      </c>
      <c r="J4" s="5">
        <v>29460179</v>
      </c>
      <c r="K4" s="5">
        <v>26635730</v>
      </c>
      <c r="L4" s="5">
        <v>35899413</v>
      </c>
      <c r="M4" s="5">
        <v>30580093</v>
      </c>
      <c r="N4" s="5">
        <v>330422921</v>
      </c>
    </row>
    <row r="5" spans="1:14" ht="15" x14ac:dyDescent="0.2">
      <c r="A5" s="4" t="s">
        <v>15</v>
      </c>
      <c r="B5" s="5">
        <v>25464195</v>
      </c>
      <c r="C5" s="5">
        <v>26244819</v>
      </c>
      <c r="D5" s="5">
        <v>56574547</v>
      </c>
      <c r="E5" s="5">
        <v>19348814</v>
      </c>
      <c r="F5" s="5">
        <v>23190049</v>
      </c>
      <c r="G5" s="5">
        <v>36858396</v>
      </c>
      <c r="H5" s="5">
        <v>37667060</v>
      </c>
      <c r="I5" s="5">
        <v>22747385</v>
      </c>
      <c r="J5" s="5">
        <v>58268033</v>
      </c>
      <c r="K5" s="5">
        <v>23560383</v>
      </c>
      <c r="L5" s="5">
        <v>38824777</v>
      </c>
      <c r="M5" s="5">
        <v>67156166</v>
      </c>
      <c r="N5" s="5">
        <v>435904624</v>
      </c>
    </row>
    <row r="6" spans="1:14" ht="15" x14ac:dyDescent="0.2">
      <c r="A6" s="4" t="s">
        <v>16</v>
      </c>
      <c r="B6" s="5">
        <v>49107407</v>
      </c>
      <c r="C6" s="5">
        <v>51714216</v>
      </c>
      <c r="D6" s="5">
        <v>46169126</v>
      </c>
      <c r="E6" s="5">
        <v>44718116</v>
      </c>
      <c r="F6" s="5">
        <v>55866626</v>
      </c>
      <c r="G6" s="5">
        <v>43718348</v>
      </c>
      <c r="H6" s="5">
        <v>42549356</v>
      </c>
      <c r="I6" s="5">
        <v>52662002</v>
      </c>
      <c r="J6" s="5">
        <v>46009866</v>
      </c>
      <c r="K6" s="5">
        <v>53277198</v>
      </c>
      <c r="L6" s="5">
        <v>58201698</v>
      </c>
      <c r="M6" s="5">
        <v>51231967</v>
      </c>
      <c r="N6" s="5">
        <v>595225926</v>
      </c>
    </row>
    <row r="7" spans="1:14" ht="15" x14ac:dyDescent="0.2">
      <c r="A7" s="4" t="s">
        <v>17</v>
      </c>
      <c r="B7" s="5">
        <v>94187232</v>
      </c>
      <c r="C7" s="5">
        <v>103962334</v>
      </c>
      <c r="D7" s="5">
        <v>114587656</v>
      </c>
      <c r="E7" s="5">
        <v>124462243</v>
      </c>
      <c r="F7" s="5">
        <v>116614514</v>
      </c>
      <c r="G7" s="5">
        <v>104221967</v>
      </c>
      <c r="H7" s="5">
        <v>90006046</v>
      </c>
      <c r="I7" s="5">
        <v>73409950</v>
      </c>
      <c r="J7" s="5">
        <v>129658247</v>
      </c>
      <c r="K7" s="5">
        <v>76574055</v>
      </c>
      <c r="L7" s="5">
        <v>116578416</v>
      </c>
      <c r="M7" s="5">
        <v>128134814</v>
      </c>
      <c r="N7" s="5">
        <v>1272397474</v>
      </c>
    </row>
    <row r="8" spans="1:14" ht="15" x14ac:dyDescent="0.2">
      <c r="A8" s="4" t="s">
        <v>18</v>
      </c>
      <c r="B8" s="5">
        <v>102908238</v>
      </c>
      <c r="C8" s="5">
        <v>107136875</v>
      </c>
      <c r="D8" s="5">
        <v>122282870</v>
      </c>
      <c r="E8" s="5">
        <v>95473242</v>
      </c>
      <c r="F8" s="5">
        <v>113875231</v>
      </c>
      <c r="G8" s="5">
        <v>111537730</v>
      </c>
      <c r="H8" s="5">
        <v>101393960</v>
      </c>
      <c r="I8" s="5">
        <v>120473990</v>
      </c>
      <c r="J8" s="5">
        <v>134882484</v>
      </c>
      <c r="K8" s="5">
        <v>114937896</v>
      </c>
      <c r="L8" s="5">
        <v>128003178</v>
      </c>
      <c r="M8" s="5">
        <v>133340829</v>
      </c>
      <c r="N8" s="5">
        <v>1386246523</v>
      </c>
    </row>
    <row r="9" spans="1:14" ht="15" x14ac:dyDescent="0.2">
      <c r="A9" s="4" t="s">
        <v>19</v>
      </c>
      <c r="B9" s="5">
        <v>452516668</v>
      </c>
      <c r="C9" s="5">
        <v>506292117</v>
      </c>
      <c r="D9" s="5">
        <v>620271859</v>
      </c>
      <c r="E9" s="5">
        <v>623866678</v>
      </c>
      <c r="F9" s="5">
        <v>563095629</v>
      </c>
      <c r="G9" s="5">
        <v>539226052</v>
      </c>
      <c r="H9" s="5">
        <v>524670824</v>
      </c>
      <c r="I9" s="5">
        <v>550225985</v>
      </c>
      <c r="J9" s="5">
        <v>597087423</v>
      </c>
      <c r="K9" s="5">
        <v>533093280</v>
      </c>
      <c r="L9" s="5">
        <v>569590410</v>
      </c>
      <c r="M9" s="5">
        <v>599632366</v>
      </c>
      <c r="N9" s="5">
        <v>6679569291</v>
      </c>
    </row>
    <row r="10" spans="1:14" ht="15" x14ac:dyDescent="0.2">
      <c r="A10" s="4" t="s">
        <v>20</v>
      </c>
      <c r="B10" s="5">
        <v>6883746</v>
      </c>
      <c r="C10" s="5">
        <v>7261178</v>
      </c>
      <c r="D10" s="5">
        <v>6834418</v>
      </c>
      <c r="E10" s="5">
        <v>6486099</v>
      </c>
      <c r="F10" s="5">
        <v>6779239</v>
      </c>
      <c r="G10" s="5">
        <v>5189238</v>
      </c>
      <c r="H10" s="5">
        <v>5151471</v>
      </c>
      <c r="I10" s="5">
        <v>6052301</v>
      </c>
      <c r="J10" s="5">
        <v>5153112</v>
      </c>
      <c r="K10" s="5">
        <v>8445502</v>
      </c>
      <c r="L10" s="5">
        <v>6062915</v>
      </c>
      <c r="M10" s="5">
        <v>6240381</v>
      </c>
      <c r="N10" s="5">
        <v>76539600</v>
      </c>
    </row>
    <row r="11" spans="1:14" ht="15" x14ac:dyDescent="0.2">
      <c r="A11" s="4" t="s">
        <v>21</v>
      </c>
      <c r="B11" s="5">
        <v>129891569</v>
      </c>
      <c r="C11" s="5">
        <v>131136051</v>
      </c>
      <c r="D11" s="5">
        <v>136401287</v>
      </c>
      <c r="E11" s="5">
        <v>132855017</v>
      </c>
      <c r="F11" s="5">
        <v>136105700</v>
      </c>
      <c r="G11" s="5">
        <v>135424454</v>
      </c>
      <c r="H11" s="5">
        <v>126179455</v>
      </c>
      <c r="I11" s="5">
        <v>141597140</v>
      </c>
      <c r="J11" s="5">
        <v>118635038</v>
      </c>
      <c r="K11" s="5">
        <v>131917276</v>
      </c>
      <c r="L11" s="5">
        <v>140257166</v>
      </c>
      <c r="M11" s="5">
        <v>135417849</v>
      </c>
      <c r="N11" s="5">
        <v>1595818002</v>
      </c>
    </row>
    <row r="12" spans="1:14" ht="15" x14ac:dyDescent="0.2">
      <c r="A12" s="4" t="s">
        <v>22</v>
      </c>
      <c r="B12" s="5">
        <v>8827951</v>
      </c>
      <c r="C12" s="5">
        <v>11008849</v>
      </c>
      <c r="D12" s="5">
        <v>8564302</v>
      </c>
      <c r="E12" s="5">
        <v>10215740</v>
      </c>
      <c r="F12" s="5">
        <v>12474279</v>
      </c>
      <c r="G12" s="5">
        <v>10153515</v>
      </c>
      <c r="H12" s="5">
        <v>9243345</v>
      </c>
      <c r="I12" s="5">
        <v>10597311</v>
      </c>
      <c r="J12" s="5">
        <v>10163349</v>
      </c>
      <c r="K12" s="5">
        <v>8576014</v>
      </c>
      <c r="L12" s="5">
        <v>10636425</v>
      </c>
      <c r="M12" s="5">
        <v>12189825</v>
      </c>
      <c r="N12" s="5">
        <v>122650905</v>
      </c>
    </row>
    <row r="13" spans="1:14" ht="15" x14ac:dyDescent="0.2">
      <c r="A13" s="4" t="s">
        <v>23</v>
      </c>
      <c r="B13" s="5">
        <v>32887459</v>
      </c>
      <c r="C13" s="5">
        <v>33595596</v>
      </c>
      <c r="D13" s="5">
        <v>35193063</v>
      </c>
      <c r="E13" s="5">
        <v>34002112</v>
      </c>
      <c r="F13" s="5">
        <v>37358456</v>
      </c>
      <c r="G13" s="5">
        <v>35759543</v>
      </c>
      <c r="H13" s="5">
        <v>32575276</v>
      </c>
      <c r="I13" s="5">
        <v>36876351</v>
      </c>
      <c r="J13" s="5">
        <v>38295294</v>
      </c>
      <c r="K13" s="5">
        <v>36546116</v>
      </c>
      <c r="L13" s="5">
        <v>37437443</v>
      </c>
      <c r="M13" s="5">
        <v>39658533</v>
      </c>
      <c r="N13" s="5">
        <v>430185242</v>
      </c>
    </row>
    <row r="14" spans="1:14" ht="15" x14ac:dyDescent="0.2">
      <c r="A14" s="4" t="s">
        <v>24</v>
      </c>
      <c r="B14" s="5">
        <v>113369726</v>
      </c>
      <c r="C14" s="5">
        <v>132588000</v>
      </c>
      <c r="D14" s="5">
        <v>120390018</v>
      </c>
      <c r="E14" s="5">
        <v>110054165</v>
      </c>
      <c r="F14" s="5">
        <v>151254882</v>
      </c>
      <c r="G14" s="5">
        <v>113788353</v>
      </c>
      <c r="H14" s="5">
        <v>109889899</v>
      </c>
      <c r="I14" s="5">
        <v>144488065</v>
      </c>
      <c r="J14" s="5">
        <v>129111868</v>
      </c>
      <c r="K14" s="5">
        <v>128496399</v>
      </c>
      <c r="L14" s="5">
        <v>150091103</v>
      </c>
      <c r="M14" s="5">
        <v>129179415</v>
      </c>
      <c r="N14" s="5">
        <v>1532701893</v>
      </c>
    </row>
    <row r="15" spans="1:14" ht="15" x14ac:dyDescent="0.2">
      <c r="A15" s="4" t="s">
        <v>25</v>
      </c>
      <c r="B15" s="5">
        <v>119550748</v>
      </c>
      <c r="C15" s="5">
        <v>123597629</v>
      </c>
      <c r="D15" s="5">
        <v>130793559</v>
      </c>
      <c r="E15" s="5">
        <v>116003768</v>
      </c>
      <c r="F15" s="5">
        <v>130287419</v>
      </c>
      <c r="G15" s="5">
        <v>130690004</v>
      </c>
      <c r="H15" s="5">
        <v>121837400</v>
      </c>
      <c r="I15" s="5">
        <v>137265682</v>
      </c>
      <c r="J15" s="5">
        <v>142776420</v>
      </c>
      <c r="K15" s="5">
        <v>131330901</v>
      </c>
      <c r="L15" s="5">
        <v>135985210</v>
      </c>
      <c r="M15" s="5">
        <v>144127254</v>
      </c>
      <c r="N15" s="5">
        <v>1564245994</v>
      </c>
    </row>
    <row r="16" spans="1:14" ht="15" x14ac:dyDescent="0.2">
      <c r="A16" s="4" t="s">
        <v>26</v>
      </c>
      <c r="B16" s="5">
        <v>8882978</v>
      </c>
      <c r="C16" s="5">
        <v>9051108</v>
      </c>
      <c r="D16" s="5">
        <v>8688369</v>
      </c>
      <c r="E16" s="5">
        <v>8014096</v>
      </c>
      <c r="F16" s="5">
        <v>8358307</v>
      </c>
      <c r="G16" s="5">
        <v>8237394</v>
      </c>
      <c r="H16" s="5">
        <v>7921591</v>
      </c>
      <c r="I16" s="5">
        <v>8482410</v>
      </c>
      <c r="J16" s="5">
        <v>9562583</v>
      </c>
      <c r="K16" s="5">
        <v>8131595</v>
      </c>
      <c r="L16" s="5">
        <v>9309002</v>
      </c>
      <c r="M16" s="5">
        <v>9423156</v>
      </c>
      <c r="N16" s="5">
        <v>104062589</v>
      </c>
    </row>
    <row r="17" spans="1:14" ht="15" x14ac:dyDescent="0.2">
      <c r="A17" s="4" t="s">
        <v>27</v>
      </c>
      <c r="B17" s="5">
        <v>5600194</v>
      </c>
      <c r="C17" s="5">
        <v>9491943</v>
      </c>
      <c r="D17" s="5">
        <v>5595696</v>
      </c>
      <c r="E17" s="5">
        <v>5555961</v>
      </c>
      <c r="F17" s="5">
        <v>10840102</v>
      </c>
      <c r="G17" s="5">
        <v>4500614</v>
      </c>
      <c r="H17" s="5">
        <v>5133497</v>
      </c>
      <c r="I17" s="5">
        <v>7454955</v>
      </c>
      <c r="J17" s="5">
        <v>5012039</v>
      </c>
      <c r="K17" s="5">
        <v>4549001</v>
      </c>
      <c r="L17" s="5">
        <v>7315641</v>
      </c>
      <c r="M17" s="5">
        <v>4494036</v>
      </c>
      <c r="N17" s="5">
        <v>75543679</v>
      </c>
    </row>
    <row r="18" spans="1:14" ht="15" x14ac:dyDescent="0.2">
      <c r="A18" s="4" t="s">
        <v>28</v>
      </c>
      <c r="B18" s="5">
        <v>1173680345</v>
      </c>
      <c r="C18" s="5">
        <v>1280033838</v>
      </c>
      <c r="D18" s="5">
        <v>1436607425</v>
      </c>
      <c r="E18" s="5">
        <v>1357270707</v>
      </c>
      <c r="F18" s="5">
        <v>1399821335</v>
      </c>
      <c r="G18" s="5">
        <v>1304376491</v>
      </c>
      <c r="H18" s="5">
        <v>1241998820</v>
      </c>
      <c r="I18" s="5">
        <v>1337368934</v>
      </c>
      <c r="J18" s="5">
        <v>1454968250</v>
      </c>
      <c r="K18" s="5">
        <v>1287734563</v>
      </c>
      <c r="L18" s="5">
        <v>1445497653</v>
      </c>
      <c r="M18" s="5">
        <v>1491432007</v>
      </c>
      <c r="N18" s="5">
        <v>16210790368</v>
      </c>
    </row>
    <row r="19" spans="1:14" ht="15" x14ac:dyDescent="0.2">
      <c r="A19" s="14" t="s">
        <v>52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ht="15" x14ac:dyDescent="0.2">
      <c r="A20" s="11" t="s">
        <v>50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</sheetData>
  <mergeCells count="3">
    <mergeCell ref="A1:N1"/>
    <mergeCell ref="A19:N19"/>
    <mergeCell ref="A20:N20"/>
  </mergeCells>
  <hyperlinks>
    <hyperlink ref="A19:N19" location="'Table of Contents'!A4" display="Back to Table of Contents" xr:uid="{286E4D2F-8034-4BAC-9412-42C4192D100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D4DD9-2066-41DA-9F59-9A348755E5E0}">
  <sheetPr codeName="Sheet4"/>
  <dimension ref="A1:N20"/>
  <sheetViews>
    <sheetView workbookViewId="0">
      <selection sqref="A1:N1"/>
    </sheetView>
  </sheetViews>
  <sheetFormatPr defaultColWidth="0" defaultRowHeight="0" customHeight="1" zeroHeight="1" x14ac:dyDescent="0.2"/>
  <cols>
    <col min="1" max="1" width="27.7109375" style="4" customWidth="1"/>
    <col min="2" max="2" width="16.140625" style="4" customWidth="1"/>
    <col min="3" max="3" width="15.5703125" style="4" customWidth="1"/>
    <col min="4" max="4" width="18.85546875" style="4" customWidth="1"/>
    <col min="5" max="5" width="16.42578125" style="4" customWidth="1"/>
    <col min="6" max="6" width="15.5703125" style="4" customWidth="1"/>
    <col min="7" max="7" width="16.85546875" style="4" customWidth="1"/>
    <col min="8" max="8" width="16" style="4" customWidth="1"/>
    <col min="9" max="9" width="15.7109375" style="4" customWidth="1"/>
    <col min="10" max="10" width="15.5703125" style="4" customWidth="1"/>
    <col min="11" max="12" width="16" style="4" bestFit="1" customWidth="1"/>
    <col min="13" max="13" width="16.140625" style="4" customWidth="1"/>
    <col min="14" max="14" width="17.28515625" style="4" bestFit="1" customWidth="1"/>
    <col min="15" max="16384" width="8.85546875" style="2" hidden="1"/>
  </cols>
  <sheetData>
    <row r="1" spans="1:14" s="10" customFormat="1" ht="18" x14ac:dyDescent="0.25">
      <c r="A1" s="13" t="s">
        <v>70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5.75" x14ac:dyDescent="0.25">
      <c r="A2" s="1" t="s">
        <v>53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</row>
    <row r="3" spans="1:14" ht="15" x14ac:dyDescent="0.2">
      <c r="A3" s="4" t="s">
        <v>13</v>
      </c>
      <c r="B3" s="5">
        <v>569407</v>
      </c>
      <c r="C3" s="5">
        <v>648687</v>
      </c>
      <c r="D3" s="5">
        <v>517977</v>
      </c>
      <c r="E3" s="5">
        <v>693831</v>
      </c>
      <c r="F3" s="5">
        <v>945151</v>
      </c>
      <c r="G3" s="5">
        <v>487380</v>
      </c>
      <c r="H3" s="5">
        <v>379071</v>
      </c>
      <c r="I3" s="5">
        <v>909997</v>
      </c>
      <c r="J3" s="5">
        <v>901300</v>
      </c>
      <c r="K3" s="5">
        <v>859127</v>
      </c>
      <c r="L3" s="5">
        <v>906220</v>
      </c>
      <c r="M3" s="5">
        <v>703112</v>
      </c>
      <c r="N3" s="5">
        <v>8521260</v>
      </c>
    </row>
    <row r="4" spans="1:14" ht="15" x14ac:dyDescent="0.2">
      <c r="A4" s="4" t="s">
        <v>14</v>
      </c>
      <c r="B4" s="5">
        <v>30091389</v>
      </c>
      <c r="C4" s="5">
        <v>35535229</v>
      </c>
      <c r="D4" s="5">
        <v>38122942</v>
      </c>
      <c r="E4" s="5">
        <v>38330676</v>
      </c>
      <c r="F4" s="5">
        <v>45325694</v>
      </c>
      <c r="G4" s="5">
        <v>43303883</v>
      </c>
      <c r="H4" s="5">
        <v>40879630</v>
      </c>
      <c r="I4" s="5">
        <v>50615751</v>
      </c>
      <c r="J4" s="5">
        <v>41396733</v>
      </c>
      <c r="K4" s="5">
        <v>47697784</v>
      </c>
      <c r="L4" s="5">
        <v>55198496</v>
      </c>
      <c r="M4" s="5">
        <v>44639688</v>
      </c>
      <c r="N4" s="5">
        <v>511137895</v>
      </c>
    </row>
    <row r="5" spans="1:14" ht="15" x14ac:dyDescent="0.2">
      <c r="A5" s="4" t="s">
        <v>15</v>
      </c>
      <c r="B5" s="5">
        <v>29398007</v>
      </c>
      <c r="C5" s="5">
        <v>36351964</v>
      </c>
      <c r="D5" s="5">
        <v>68898624</v>
      </c>
      <c r="E5" s="5">
        <v>31072954</v>
      </c>
      <c r="F5" s="5">
        <v>35494828</v>
      </c>
      <c r="G5" s="5">
        <v>56111221</v>
      </c>
      <c r="H5" s="5">
        <v>38594788</v>
      </c>
      <c r="I5" s="5">
        <v>43123281</v>
      </c>
      <c r="J5" s="5">
        <v>64289731</v>
      </c>
      <c r="K5" s="5">
        <v>38202092</v>
      </c>
      <c r="L5" s="5">
        <v>43457639</v>
      </c>
      <c r="M5" s="5">
        <v>82455194</v>
      </c>
      <c r="N5" s="5">
        <v>567450323</v>
      </c>
    </row>
    <row r="6" spans="1:14" ht="15" x14ac:dyDescent="0.2">
      <c r="A6" s="4" t="s">
        <v>16</v>
      </c>
      <c r="B6" s="5">
        <v>51827162</v>
      </c>
      <c r="C6" s="5">
        <v>55164964</v>
      </c>
      <c r="D6" s="5">
        <v>51604865</v>
      </c>
      <c r="E6" s="5">
        <v>53101290</v>
      </c>
      <c r="F6" s="5">
        <v>62278719</v>
      </c>
      <c r="G6" s="5">
        <v>52582904</v>
      </c>
      <c r="H6" s="5">
        <v>49477049</v>
      </c>
      <c r="I6" s="5">
        <v>64927697</v>
      </c>
      <c r="J6" s="5">
        <v>58721576</v>
      </c>
      <c r="K6" s="5">
        <v>61456236</v>
      </c>
      <c r="L6" s="5">
        <v>70596818</v>
      </c>
      <c r="M6" s="5">
        <v>61498906</v>
      </c>
      <c r="N6" s="5">
        <v>693238186</v>
      </c>
    </row>
    <row r="7" spans="1:14" ht="15" x14ac:dyDescent="0.2">
      <c r="A7" s="4" t="s">
        <v>17</v>
      </c>
      <c r="B7" s="5">
        <v>145661858</v>
      </c>
      <c r="C7" s="5">
        <v>123201225</v>
      </c>
      <c r="D7" s="5">
        <v>119314671</v>
      </c>
      <c r="E7" s="5">
        <v>124481198</v>
      </c>
      <c r="F7" s="5">
        <v>150094362</v>
      </c>
      <c r="G7" s="5">
        <v>133323285</v>
      </c>
      <c r="H7" s="5">
        <v>106865995</v>
      </c>
      <c r="I7" s="5">
        <v>135024572</v>
      </c>
      <c r="J7" s="5">
        <v>135871032</v>
      </c>
      <c r="K7" s="5">
        <v>19592605</v>
      </c>
      <c r="L7" s="5">
        <v>146278499</v>
      </c>
      <c r="M7" s="5">
        <v>124950680</v>
      </c>
      <c r="N7" s="5">
        <v>1464659982</v>
      </c>
    </row>
    <row r="8" spans="1:14" ht="15" x14ac:dyDescent="0.2">
      <c r="A8" s="4" t="s">
        <v>18</v>
      </c>
      <c r="B8" s="5">
        <v>123360848</v>
      </c>
      <c r="C8" s="5">
        <v>117611383</v>
      </c>
      <c r="D8" s="5">
        <v>142462604</v>
      </c>
      <c r="E8" s="5">
        <v>121996658</v>
      </c>
      <c r="F8" s="5">
        <v>131938647</v>
      </c>
      <c r="G8" s="5">
        <v>139597292</v>
      </c>
      <c r="H8" s="5">
        <v>121035310</v>
      </c>
      <c r="I8" s="5">
        <v>141875566</v>
      </c>
      <c r="J8" s="5">
        <v>138866880</v>
      </c>
      <c r="K8" s="5">
        <v>143206028</v>
      </c>
      <c r="L8" s="5">
        <v>149621192</v>
      </c>
      <c r="M8" s="5">
        <v>150432000</v>
      </c>
      <c r="N8" s="5">
        <v>1622004408</v>
      </c>
    </row>
    <row r="9" spans="1:14" ht="15" x14ac:dyDescent="0.2">
      <c r="A9" s="4" t="s">
        <v>19</v>
      </c>
      <c r="B9" s="5">
        <v>515582847</v>
      </c>
      <c r="C9" s="5">
        <v>528532312</v>
      </c>
      <c r="D9" s="5">
        <v>682634632</v>
      </c>
      <c r="E9" s="5">
        <v>741610265</v>
      </c>
      <c r="F9" s="5">
        <v>606354224</v>
      </c>
      <c r="G9" s="5">
        <v>595324088</v>
      </c>
      <c r="H9" s="5">
        <v>589064816</v>
      </c>
      <c r="I9" s="5">
        <v>601816426</v>
      </c>
      <c r="J9" s="5">
        <v>661455125</v>
      </c>
      <c r="K9" s="5">
        <v>597550769</v>
      </c>
      <c r="L9" s="5">
        <v>601298078</v>
      </c>
      <c r="M9" s="5">
        <v>647542307</v>
      </c>
      <c r="N9" s="5">
        <v>7368765889</v>
      </c>
    </row>
    <row r="10" spans="1:14" ht="15" x14ac:dyDescent="0.2">
      <c r="A10" s="4" t="s">
        <v>20</v>
      </c>
      <c r="B10" s="5">
        <v>4905112</v>
      </c>
      <c r="C10" s="5">
        <v>-4611271</v>
      </c>
      <c r="D10" s="5">
        <v>6403910</v>
      </c>
      <c r="E10" s="5">
        <v>8333160</v>
      </c>
      <c r="F10" s="5">
        <v>11037607</v>
      </c>
      <c r="G10" s="5">
        <v>5900025</v>
      </c>
      <c r="H10" s="5">
        <v>6185052</v>
      </c>
      <c r="I10" s="5">
        <v>9344795</v>
      </c>
      <c r="J10" s="5">
        <v>8232207</v>
      </c>
      <c r="K10" s="5">
        <v>10764361</v>
      </c>
      <c r="L10" s="5">
        <v>10147790</v>
      </c>
      <c r="M10" s="5">
        <v>7596404</v>
      </c>
      <c r="N10" s="5">
        <v>84239152</v>
      </c>
    </row>
    <row r="11" spans="1:14" ht="15" x14ac:dyDescent="0.2">
      <c r="A11" s="4" t="s">
        <v>21</v>
      </c>
      <c r="B11" s="5">
        <v>132156993</v>
      </c>
      <c r="C11" s="5">
        <v>134736838</v>
      </c>
      <c r="D11" s="5">
        <v>135249571</v>
      </c>
      <c r="E11" s="5">
        <v>140241509</v>
      </c>
      <c r="F11" s="5">
        <v>150367900</v>
      </c>
      <c r="G11" s="5">
        <v>149673793</v>
      </c>
      <c r="H11" s="5">
        <v>138342796</v>
      </c>
      <c r="I11" s="5">
        <v>144755376</v>
      </c>
      <c r="J11" s="5">
        <v>149213595</v>
      </c>
      <c r="K11" s="5">
        <v>141965777</v>
      </c>
      <c r="L11" s="5">
        <v>146253979</v>
      </c>
      <c r="M11" s="5">
        <v>158380947</v>
      </c>
      <c r="N11" s="5">
        <v>1721339074</v>
      </c>
    </row>
    <row r="12" spans="1:14" ht="15" x14ac:dyDescent="0.2">
      <c r="A12" s="4" t="s">
        <v>22</v>
      </c>
      <c r="B12" s="5">
        <v>8742570</v>
      </c>
      <c r="C12" s="5">
        <v>8579640</v>
      </c>
      <c r="D12" s="5">
        <v>10297622</v>
      </c>
      <c r="E12" s="5">
        <v>12257399</v>
      </c>
      <c r="F12" s="5">
        <v>16185091</v>
      </c>
      <c r="G12" s="5">
        <v>11540878</v>
      </c>
      <c r="H12" s="5">
        <v>8701716</v>
      </c>
      <c r="I12" s="5">
        <v>2379333</v>
      </c>
      <c r="J12" s="5">
        <v>12168637</v>
      </c>
      <c r="K12" s="5">
        <v>12088866</v>
      </c>
      <c r="L12" s="5">
        <v>12385147</v>
      </c>
      <c r="M12" s="5">
        <v>11336167</v>
      </c>
      <c r="N12" s="5">
        <v>126663066</v>
      </c>
    </row>
    <row r="13" spans="1:14" ht="15" x14ac:dyDescent="0.2">
      <c r="A13" s="4" t="s">
        <v>23</v>
      </c>
      <c r="B13" s="5">
        <v>33056751</v>
      </c>
      <c r="C13" s="5">
        <v>39496801</v>
      </c>
      <c r="D13" s="5">
        <v>39051610</v>
      </c>
      <c r="E13" s="5">
        <v>35992235</v>
      </c>
      <c r="F13" s="5">
        <v>41609646</v>
      </c>
      <c r="G13" s="5">
        <v>40824985</v>
      </c>
      <c r="H13" s="5">
        <v>38155699</v>
      </c>
      <c r="I13" s="5">
        <v>43307282</v>
      </c>
      <c r="J13" s="5">
        <v>42152968</v>
      </c>
      <c r="K13" s="5">
        <v>40703464</v>
      </c>
      <c r="L13" s="5">
        <v>41974618</v>
      </c>
      <c r="M13" s="5">
        <v>45860428</v>
      </c>
      <c r="N13" s="5">
        <v>482186487</v>
      </c>
    </row>
    <row r="14" spans="1:14" ht="15" x14ac:dyDescent="0.2">
      <c r="A14" s="4" t="s">
        <v>24</v>
      </c>
      <c r="B14" s="5">
        <v>120157170</v>
      </c>
      <c r="C14" s="5">
        <v>141663242</v>
      </c>
      <c r="D14" s="5">
        <v>128210588</v>
      </c>
      <c r="E14" s="5">
        <v>128268856</v>
      </c>
      <c r="F14" s="5">
        <v>161723723</v>
      </c>
      <c r="G14" s="5">
        <v>129639308</v>
      </c>
      <c r="H14" s="5">
        <v>125571221</v>
      </c>
      <c r="I14" s="5">
        <v>159089855</v>
      </c>
      <c r="J14" s="5">
        <v>138764680</v>
      </c>
      <c r="K14" s="5">
        <v>142926501</v>
      </c>
      <c r="L14" s="5">
        <v>160930046</v>
      </c>
      <c r="M14" s="5">
        <v>143161250</v>
      </c>
      <c r="N14" s="5">
        <v>1680106440</v>
      </c>
    </row>
    <row r="15" spans="1:14" ht="15" x14ac:dyDescent="0.2">
      <c r="A15" s="4" t="s">
        <v>25</v>
      </c>
      <c r="B15" s="5">
        <v>129848461</v>
      </c>
      <c r="C15" s="5">
        <v>130868560</v>
      </c>
      <c r="D15" s="5">
        <v>138483471</v>
      </c>
      <c r="E15" s="5">
        <v>132416343</v>
      </c>
      <c r="F15" s="5">
        <v>143715866</v>
      </c>
      <c r="G15" s="5">
        <v>143244739</v>
      </c>
      <c r="H15" s="5">
        <v>134273148</v>
      </c>
      <c r="I15" s="5">
        <v>148754281</v>
      </c>
      <c r="J15" s="5">
        <v>153162722</v>
      </c>
      <c r="K15" s="5">
        <v>143863059</v>
      </c>
      <c r="L15" s="5">
        <v>147731207</v>
      </c>
      <c r="M15" s="5">
        <v>155420166</v>
      </c>
      <c r="N15" s="5">
        <v>1701782023</v>
      </c>
    </row>
    <row r="16" spans="1:14" ht="15" x14ac:dyDescent="0.2">
      <c r="A16" s="4" t="s">
        <v>26</v>
      </c>
      <c r="B16" s="5">
        <v>9194930</v>
      </c>
      <c r="C16" s="5">
        <v>9317239</v>
      </c>
      <c r="D16" s="5">
        <v>9443928</v>
      </c>
      <c r="E16" s="5">
        <v>8997624</v>
      </c>
      <c r="F16" s="5">
        <v>8922857</v>
      </c>
      <c r="G16" s="5">
        <v>9325941</v>
      </c>
      <c r="H16" s="5">
        <v>8346974</v>
      </c>
      <c r="I16" s="5">
        <v>9196234</v>
      </c>
      <c r="J16" s="5">
        <v>9227845</v>
      </c>
      <c r="K16" s="5">
        <v>10025120</v>
      </c>
      <c r="L16" s="5">
        <v>10045829</v>
      </c>
      <c r="M16" s="5">
        <v>10773161</v>
      </c>
      <c r="N16" s="5">
        <v>112817682</v>
      </c>
    </row>
    <row r="17" spans="1:14" ht="15" x14ac:dyDescent="0.2">
      <c r="A17" s="4" t="s">
        <v>27</v>
      </c>
      <c r="B17" s="5">
        <v>3469329</v>
      </c>
      <c r="C17" s="5">
        <v>6752892</v>
      </c>
      <c r="D17" s="5">
        <v>-954263</v>
      </c>
      <c r="E17" s="5">
        <v>3636753</v>
      </c>
      <c r="F17" s="5">
        <v>7372177</v>
      </c>
      <c r="G17" s="5">
        <v>3230025</v>
      </c>
      <c r="H17" s="5">
        <v>3539379</v>
      </c>
      <c r="I17" s="5">
        <v>5858606</v>
      </c>
      <c r="J17" s="5">
        <v>1371373</v>
      </c>
      <c r="K17" s="5">
        <v>3892658</v>
      </c>
      <c r="L17" s="5">
        <v>5261581</v>
      </c>
      <c r="M17" s="5">
        <v>3585094</v>
      </c>
      <c r="N17" s="5">
        <v>47015604</v>
      </c>
    </row>
    <row r="18" spans="1:14" ht="15" x14ac:dyDescent="0.2">
      <c r="A18" s="4" t="s">
        <v>28</v>
      </c>
      <c r="B18" s="5">
        <v>1338022834</v>
      </c>
      <c r="C18" s="5">
        <v>1363849705</v>
      </c>
      <c r="D18" s="5">
        <v>1569742752</v>
      </c>
      <c r="E18" s="5">
        <v>1581430751</v>
      </c>
      <c r="F18" s="5">
        <v>1573366492</v>
      </c>
      <c r="G18" s="5">
        <v>1514109747</v>
      </c>
      <c r="H18" s="5">
        <v>1409412644</v>
      </c>
      <c r="I18" s="5">
        <v>1560979052</v>
      </c>
      <c r="J18" s="5">
        <v>1615796404</v>
      </c>
      <c r="K18" s="5">
        <v>1414794447</v>
      </c>
      <c r="L18" s="5">
        <v>1602087139</v>
      </c>
      <c r="M18" s="5">
        <v>1648335504</v>
      </c>
      <c r="N18" s="5">
        <v>18191927471</v>
      </c>
    </row>
    <row r="19" spans="1:14" ht="15" x14ac:dyDescent="0.2">
      <c r="A19" s="14" t="s">
        <v>52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ht="15" x14ac:dyDescent="0.2">
      <c r="A20" s="11" t="s">
        <v>50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</sheetData>
  <mergeCells count="3">
    <mergeCell ref="A1:N1"/>
    <mergeCell ref="A19:N19"/>
    <mergeCell ref="A20:N20"/>
  </mergeCells>
  <hyperlinks>
    <hyperlink ref="A19:N19" location="'Table of Contents'!A5" display="Back to Table of Contents" xr:uid="{2D2BF08C-4C6A-4281-A06E-AA6F874AA2E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942BE-858A-4AB8-8B2D-4509582CD277}">
  <sheetPr codeName="Sheet5"/>
  <dimension ref="A1:N20"/>
  <sheetViews>
    <sheetView workbookViewId="0">
      <selection sqref="A1:N1"/>
    </sheetView>
  </sheetViews>
  <sheetFormatPr defaultColWidth="0" defaultRowHeight="0" customHeight="1" zeroHeight="1" x14ac:dyDescent="0.2"/>
  <cols>
    <col min="1" max="1" width="27.7109375" style="4" customWidth="1"/>
    <col min="2" max="2" width="16.140625" style="4" customWidth="1"/>
    <col min="3" max="3" width="15.5703125" style="4" customWidth="1"/>
    <col min="4" max="4" width="17.5703125" style="4" customWidth="1"/>
    <col min="5" max="5" width="18.5703125" style="4" customWidth="1"/>
    <col min="6" max="6" width="16.42578125" style="4" customWidth="1"/>
    <col min="7" max="7" width="17.85546875" style="4" customWidth="1"/>
    <col min="8" max="8" width="16.28515625" style="4" customWidth="1"/>
    <col min="9" max="9" width="16.7109375" style="4" customWidth="1"/>
    <col min="10" max="10" width="17.42578125" style="4" customWidth="1"/>
    <col min="11" max="12" width="16" style="4" bestFit="1" customWidth="1"/>
    <col min="13" max="13" width="16.28515625" style="4" customWidth="1"/>
    <col min="14" max="14" width="17.28515625" style="4" bestFit="1" customWidth="1"/>
    <col min="15" max="16384" width="8.85546875" style="2" hidden="1"/>
  </cols>
  <sheetData>
    <row r="1" spans="1:14" s="10" customFormat="1" ht="18" x14ac:dyDescent="0.25">
      <c r="A1" s="13" t="s">
        <v>69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5.75" x14ac:dyDescent="0.25">
      <c r="A2" s="1" t="s">
        <v>53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</row>
    <row r="3" spans="1:14" ht="15" x14ac:dyDescent="0.2">
      <c r="A3" s="4" t="s">
        <v>13</v>
      </c>
      <c r="B3" s="5">
        <v>657699</v>
      </c>
      <c r="C3" s="5">
        <v>728413</v>
      </c>
      <c r="D3" s="5">
        <v>587538</v>
      </c>
      <c r="E3" s="5">
        <v>702827</v>
      </c>
      <c r="F3" s="5">
        <v>971805</v>
      </c>
      <c r="G3" s="5">
        <v>377745</v>
      </c>
      <c r="H3" s="5">
        <v>539445</v>
      </c>
      <c r="I3" s="5">
        <v>1043933</v>
      </c>
      <c r="J3" s="5">
        <v>815834</v>
      </c>
      <c r="K3" s="5">
        <v>874582</v>
      </c>
      <c r="L3" s="5">
        <v>1316708</v>
      </c>
      <c r="M3" s="5">
        <v>651215</v>
      </c>
      <c r="N3" s="5">
        <v>9267744</v>
      </c>
    </row>
    <row r="4" spans="1:14" ht="15" x14ac:dyDescent="0.2">
      <c r="A4" s="4" t="s">
        <v>14</v>
      </c>
      <c r="B4" s="5">
        <v>55835044</v>
      </c>
      <c r="C4" s="5">
        <v>57636808</v>
      </c>
      <c r="D4" s="5">
        <v>59050139</v>
      </c>
      <c r="E4" s="5">
        <v>54318239</v>
      </c>
      <c r="F4" s="5">
        <v>65413039</v>
      </c>
      <c r="G4" s="5">
        <v>56157200</v>
      </c>
      <c r="H4" s="5">
        <v>63132657</v>
      </c>
      <c r="I4" s="5">
        <v>62078858</v>
      </c>
      <c r="J4" s="5">
        <v>65196161</v>
      </c>
      <c r="K4" s="5">
        <v>62174849</v>
      </c>
      <c r="L4" s="5">
        <v>59105591</v>
      </c>
      <c r="M4" s="5">
        <v>65220023</v>
      </c>
      <c r="N4" s="5">
        <v>725318608</v>
      </c>
    </row>
    <row r="5" spans="1:14" ht="15" x14ac:dyDescent="0.2">
      <c r="A5" s="4" t="s">
        <v>15</v>
      </c>
      <c r="B5" s="5">
        <v>42369970</v>
      </c>
      <c r="C5" s="5">
        <v>44879826</v>
      </c>
      <c r="D5" s="5">
        <v>76149813</v>
      </c>
      <c r="E5" s="5">
        <v>30746000</v>
      </c>
      <c r="F5" s="5">
        <v>31472712</v>
      </c>
      <c r="G5" s="5">
        <v>72587734</v>
      </c>
      <c r="H5" s="5">
        <v>35237640</v>
      </c>
      <c r="I5" s="5">
        <v>35783777</v>
      </c>
      <c r="J5" s="5">
        <v>70323926</v>
      </c>
      <c r="K5" s="5">
        <v>36425234</v>
      </c>
      <c r="L5" s="5">
        <v>37133413</v>
      </c>
      <c r="M5" s="5">
        <v>82740789</v>
      </c>
      <c r="N5" s="5">
        <v>595850834</v>
      </c>
    </row>
    <row r="6" spans="1:14" ht="15" x14ac:dyDescent="0.2">
      <c r="A6" s="4" t="s">
        <v>16</v>
      </c>
      <c r="B6" s="5">
        <v>65691794</v>
      </c>
      <c r="C6" s="5">
        <v>71560386</v>
      </c>
      <c r="D6" s="5">
        <v>69160672</v>
      </c>
      <c r="E6" s="5">
        <v>62072104</v>
      </c>
      <c r="F6" s="5">
        <v>76909714</v>
      </c>
      <c r="G6" s="5">
        <v>66081965</v>
      </c>
      <c r="H6" s="5">
        <v>60076578</v>
      </c>
      <c r="I6" s="5">
        <v>76885373</v>
      </c>
      <c r="J6" s="5">
        <v>70125703</v>
      </c>
      <c r="K6" s="5">
        <v>71726893</v>
      </c>
      <c r="L6" s="5">
        <v>82985153</v>
      </c>
      <c r="M6" s="5">
        <v>73168687</v>
      </c>
      <c r="N6" s="5">
        <v>846445022</v>
      </c>
    </row>
    <row r="7" spans="1:14" ht="15" x14ac:dyDescent="0.2">
      <c r="A7" s="4" t="s">
        <v>17</v>
      </c>
      <c r="B7" s="5">
        <v>135003198</v>
      </c>
      <c r="C7" s="5">
        <v>142272178</v>
      </c>
      <c r="D7" s="5">
        <v>149519942</v>
      </c>
      <c r="E7" s="5">
        <v>139104169</v>
      </c>
      <c r="F7" s="5">
        <v>165678225</v>
      </c>
      <c r="G7" s="5">
        <v>151792830</v>
      </c>
      <c r="H7" s="5">
        <v>141806304</v>
      </c>
      <c r="I7" s="5">
        <v>149489240</v>
      </c>
      <c r="J7" s="5">
        <v>164655583</v>
      </c>
      <c r="K7" s="5">
        <v>135227693</v>
      </c>
      <c r="L7" s="5">
        <v>145625666</v>
      </c>
      <c r="M7" s="5">
        <v>172515090</v>
      </c>
      <c r="N7" s="5">
        <v>1792690118</v>
      </c>
    </row>
    <row r="8" spans="1:14" ht="15" x14ac:dyDescent="0.2">
      <c r="A8" s="4" t="s">
        <v>18</v>
      </c>
      <c r="B8" s="5">
        <v>140157454</v>
      </c>
      <c r="C8" s="5">
        <v>137527465</v>
      </c>
      <c r="D8" s="5">
        <v>157539108</v>
      </c>
      <c r="E8" s="5">
        <v>130496550</v>
      </c>
      <c r="F8" s="5">
        <v>139340214</v>
      </c>
      <c r="G8" s="5">
        <v>134415676</v>
      </c>
      <c r="H8" s="5">
        <v>127871227</v>
      </c>
      <c r="I8" s="5">
        <v>146025129</v>
      </c>
      <c r="J8" s="5">
        <v>152925092</v>
      </c>
      <c r="K8" s="5">
        <v>140407435</v>
      </c>
      <c r="L8" s="5">
        <v>146466514</v>
      </c>
      <c r="M8" s="5">
        <v>155083604</v>
      </c>
      <c r="N8" s="5">
        <v>1708255468</v>
      </c>
    </row>
    <row r="9" spans="1:14" ht="15" x14ac:dyDescent="0.2">
      <c r="A9" s="4" t="s">
        <v>19</v>
      </c>
      <c r="B9" s="5">
        <v>579825743</v>
      </c>
      <c r="C9" s="5">
        <v>603345490</v>
      </c>
      <c r="D9" s="5">
        <v>689616739</v>
      </c>
      <c r="E9" s="5">
        <v>767648575</v>
      </c>
      <c r="F9" s="5">
        <v>696102176</v>
      </c>
      <c r="G9" s="5">
        <v>623016242</v>
      </c>
      <c r="H9" s="5">
        <v>631505475</v>
      </c>
      <c r="I9" s="5">
        <v>668776911</v>
      </c>
      <c r="J9" s="5">
        <v>684340424</v>
      </c>
      <c r="K9" s="5">
        <v>631753430</v>
      </c>
      <c r="L9" s="5">
        <v>630780322</v>
      </c>
      <c r="M9" s="5">
        <v>708029967</v>
      </c>
      <c r="N9" s="5">
        <v>7914741494</v>
      </c>
    </row>
    <row r="10" spans="1:14" ht="15" x14ac:dyDescent="0.2">
      <c r="A10" s="4" t="s">
        <v>20</v>
      </c>
      <c r="B10" s="5">
        <v>13153132</v>
      </c>
      <c r="C10" s="5">
        <v>9554854</v>
      </c>
      <c r="D10" s="5">
        <v>8620982</v>
      </c>
      <c r="E10" s="5">
        <v>11478535</v>
      </c>
      <c r="F10" s="5">
        <v>13777970</v>
      </c>
      <c r="G10" s="5">
        <v>12089492</v>
      </c>
      <c r="H10" s="5">
        <v>10602246</v>
      </c>
      <c r="I10" s="5">
        <v>8266004</v>
      </c>
      <c r="J10" s="5">
        <v>11809861</v>
      </c>
      <c r="K10" s="5">
        <v>9949555</v>
      </c>
      <c r="L10" s="5">
        <v>10937367</v>
      </c>
      <c r="M10" s="5">
        <v>10426131</v>
      </c>
      <c r="N10" s="5">
        <v>130666129</v>
      </c>
    </row>
    <row r="11" spans="1:14" ht="15" x14ac:dyDescent="0.2">
      <c r="A11" s="4" t="s">
        <v>21</v>
      </c>
      <c r="B11" s="5">
        <v>141078565</v>
      </c>
      <c r="C11" s="5">
        <v>155763829</v>
      </c>
      <c r="D11" s="5">
        <v>163089863</v>
      </c>
      <c r="E11" s="5">
        <v>158455315</v>
      </c>
      <c r="F11" s="5">
        <v>142466293</v>
      </c>
      <c r="G11" s="5">
        <v>152574973</v>
      </c>
      <c r="H11" s="5">
        <v>148560891</v>
      </c>
      <c r="I11" s="5">
        <v>157165344</v>
      </c>
      <c r="J11" s="5">
        <v>178528456</v>
      </c>
      <c r="K11" s="5">
        <v>157971932</v>
      </c>
      <c r="L11" s="5">
        <v>146929886</v>
      </c>
      <c r="M11" s="5">
        <v>180633881</v>
      </c>
      <c r="N11" s="5">
        <v>1883219228</v>
      </c>
    </row>
    <row r="12" spans="1:14" ht="15" x14ac:dyDescent="0.2">
      <c r="A12" s="4" t="s">
        <v>22</v>
      </c>
      <c r="B12" s="5">
        <v>10528085</v>
      </c>
      <c r="C12" s="5">
        <v>11810679</v>
      </c>
      <c r="D12" s="5">
        <v>10985442</v>
      </c>
      <c r="E12" s="5">
        <v>13267758</v>
      </c>
      <c r="F12" s="5">
        <v>13940732</v>
      </c>
      <c r="G12" s="5">
        <v>12774232</v>
      </c>
      <c r="H12" s="5">
        <v>10827590</v>
      </c>
      <c r="I12" s="5">
        <v>13412347</v>
      </c>
      <c r="J12" s="5">
        <v>14865859</v>
      </c>
      <c r="K12" s="5">
        <v>11117130</v>
      </c>
      <c r="L12" s="5">
        <v>11425446</v>
      </c>
      <c r="M12" s="5">
        <v>16398839</v>
      </c>
      <c r="N12" s="5">
        <v>151354139</v>
      </c>
    </row>
    <row r="13" spans="1:14" ht="15" x14ac:dyDescent="0.2">
      <c r="A13" s="4" t="s">
        <v>23</v>
      </c>
      <c r="B13" s="5">
        <v>38750385</v>
      </c>
      <c r="C13" s="5">
        <v>42474346</v>
      </c>
      <c r="D13" s="5">
        <v>46456833</v>
      </c>
      <c r="E13" s="5">
        <v>42069092</v>
      </c>
      <c r="F13" s="5">
        <v>45289691</v>
      </c>
      <c r="G13" s="5">
        <v>46996801</v>
      </c>
      <c r="H13" s="5">
        <v>44152804</v>
      </c>
      <c r="I13" s="5">
        <v>50524055</v>
      </c>
      <c r="J13" s="5">
        <v>46809825</v>
      </c>
      <c r="K13" s="5">
        <v>43824297</v>
      </c>
      <c r="L13" s="5">
        <v>49212777</v>
      </c>
      <c r="M13" s="5">
        <v>45129570</v>
      </c>
      <c r="N13" s="5">
        <v>541690476</v>
      </c>
    </row>
    <row r="14" spans="1:14" ht="15" x14ac:dyDescent="0.2">
      <c r="A14" s="4" t="s">
        <v>24</v>
      </c>
      <c r="B14" s="5">
        <v>140185579</v>
      </c>
      <c r="C14" s="5">
        <v>157382620</v>
      </c>
      <c r="D14" s="5">
        <v>143183784</v>
      </c>
      <c r="E14" s="5">
        <v>131713519</v>
      </c>
      <c r="F14" s="5">
        <v>177805376</v>
      </c>
      <c r="G14" s="5">
        <v>140909313</v>
      </c>
      <c r="H14" s="5">
        <v>137777653</v>
      </c>
      <c r="I14" s="5">
        <v>174488799</v>
      </c>
      <c r="J14" s="5">
        <v>155933290</v>
      </c>
      <c r="K14" s="5">
        <v>157975342</v>
      </c>
      <c r="L14" s="5">
        <v>180718683</v>
      </c>
      <c r="M14" s="5">
        <v>155723539</v>
      </c>
      <c r="N14" s="5">
        <v>1853797497</v>
      </c>
    </row>
    <row r="15" spans="1:14" ht="15" x14ac:dyDescent="0.2">
      <c r="A15" s="4" t="s">
        <v>25</v>
      </c>
      <c r="B15" s="5">
        <v>137010721</v>
      </c>
      <c r="C15" s="5">
        <v>147711793</v>
      </c>
      <c r="D15" s="5">
        <v>152289045</v>
      </c>
      <c r="E15" s="5">
        <v>133097168</v>
      </c>
      <c r="F15" s="5">
        <v>158608782</v>
      </c>
      <c r="G15" s="5">
        <v>149452940</v>
      </c>
      <c r="H15" s="5">
        <v>144746948</v>
      </c>
      <c r="I15" s="5">
        <v>160775223</v>
      </c>
      <c r="J15" s="5">
        <v>162558907</v>
      </c>
      <c r="K15" s="5">
        <v>156389537</v>
      </c>
      <c r="L15" s="5">
        <v>159641691</v>
      </c>
      <c r="M15" s="5">
        <v>168128281</v>
      </c>
      <c r="N15" s="5">
        <v>1830411036</v>
      </c>
    </row>
    <row r="16" spans="1:14" ht="15" x14ac:dyDescent="0.2">
      <c r="A16" s="4" t="s">
        <v>26</v>
      </c>
      <c r="B16" s="5">
        <v>9585724</v>
      </c>
      <c r="C16" s="5">
        <v>10299672</v>
      </c>
      <c r="D16" s="5">
        <v>9689686</v>
      </c>
      <c r="E16" s="5">
        <v>9398896</v>
      </c>
      <c r="F16" s="5">
        <v>9762402</v>
      </c>
      <c r="G16" s="5">
        <v>10077906</v>
      </c>
      <c r="H16" s="5">
        <v>9601216</v>
      </c>
      <c r="I16" s="5">
        <v>10610116</v>
      </c>
      <c r="J16" s="5">
        <v>10487618</v>
      </c>
      <c r="K16" s="5">
        <v>9807945</v>
      </c>
      <c r="L16" s="5">
        <v>10716750</v>
      </c>
      <c r="M16" s="5">
        <v>11001417</v>
      </c>
      <c r="N16" s="5">
        <v>121039348</v>
      </c>
    </row>
    <row r="17" spans="1:14" ht="15" x14ac:dyDescent="0.2">
      <c r="A17" s="4" t="s">
        <v>27</v>
      </c>
      <c r="B17" s="5">
        <v>3537513</v>
      </c>
      <c r="C17" s="5">
        <v>4519935</v>
      </c>
      <c r="D17" s="5">
        <v>3478689</v>
      </c>
      <c r="E17" s="5">
        <v>3020331</v>
      </c>
      <c r="F17" s="5">
        <v>6062945</v>
      </c>
      <c r="G17" s="5">
        <v>2934835</v>
      </c>
      <c r="H17" s="5">
        <v>3133798</v>
      </c>
      <c r="I17" s="5">
        <v>5419397</v>
      </c>
      <c r="J17" s="5">
        <v>3817017</v>
      </c>
      <c r="K17" s="5">
        <v>3800081</v>
      </c>
      <c r="L17" s="5">
        <v>5010283</v>
      </c>
      <c r="M17" s="5">
        <v>3687611</v>
      </c>
      <c r="N17" s="5">
        <v>48422435</v>
      </c>
    </row>
    <row r="18" spans="1:14" ht="15" x14ac:dyDescent="0.2">
      <c r="A18" s="4" t="s">
        <v>28</v>
      </c>
      <c r="B18" s="5">
        <v>1513370606</v>
      </c>
      <c r="C18" s="5">
        <v>1597468294</v>
      </c>
      <c r="D18" s="5">
        <v>1739418275</v>
      </c>
      <c r="E18" s="5">
        <v>1687589078</v>
      </c>
      <c r="F18" s="5">
        <v>1743602076</v>
      </c>
      <c r="G18" s="5">
        <v>1632239884</v>
      </c>
      <c r="H18" s="5">
        <v>1569572472</v>
      </c>
      <c r="I18" s="5">
        <v>1720744506</v>
      </c>
      <c r="J18" s="5">
        <v>1793193556</v>
      </c>
      <c r="K18" s="5">
        <v>1629425935</v>
      </c>
      <c r="L18" s="5">
        <v>1678006250</v>
      </c>
      <c r="M18" s="5">
        <v>1848538644</v>
      </c>
      <c r="N18" s="5">
        <v>20153169576</v>
      </c>
    </row>
    <row r="19" spans="1:14" ht="15" x14ac:dyDescent="0.2">
      <c r="A19" s="14" t="s">
        <v>52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ht="15" x14ac:dyDescent="0.2">
      <c r="A20" s="11" t="s">
        <v>50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</sheetData>
  <mergeCells count="3">
    <mergeCell ref="A1:N1"/>
    <mergeCell ref="A19:N19"/>
    <mergeCell ref="A20:N20"/>
  </mergeCells>
  <hyperlinks>
    <hyperlink ref="A19:N19" location="'Table of Contents'!A6" display="Back to Table of Contents" xr:uid="{4F211529-7EAC-440D-8E10-8C880975256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7503B-9E66-4583-B550-51B3DABEFC6C}">
  <sheetPr codeName="Sheet6"/>
  <dimension ref="A1:N20"/>
  <sheetViews>
    <sheetView workbookViewId="0">
      <selection sqref="A1:N1"/>
    </sheetView>
  </sheetViews>
  <sheetFormatPr defaultColWidth="0" defaultRowHeight="0" customHeight="1" zeroHeight="1" x14ac:dyDescent="0.2"/>
  <cols>
    <col min="1" max="1" width="27.7109375" style="4" customWidth="1"/>
    <col min="2" max="2" width="16.140625" style="4" customWidth="1"/>
    <col min="3" max="3" width="15.5703125" style="4" customWidth="1"/>
    <col min="4" max="4" width="17.140625" style="4" customWidth="1"/>
    <col min="5" max="5" width="17.85546875" style="4" customWidth="1"/>
    <col min="6" max="6" width="18.5703125" style="4" customWidth="1"/>
    <col min="7" max="7" width="16.28515625" style="4" customWidth="1"/>
    <col min="8" max="9" width="15.7109375" style="4" customWidth="1"/>
    <col min="10" max="10" width="16.42578125" style="4" customWidth="1"/>
    <col min="11" max="12" width="16" style="4" bestFit="1" customWidth="1"/>
    <col min="13" max="13" width="15.85546875" style="4" customWidth="1"/>
    <col min="14" max="14" width="17.28515625" style="4" bestFit="1" customWidth="1"/>
    <col min="15" max="16384" width="8.85546875" style="2" hidden="1"/>
  </cols>
  <sheetData>
    <row r="1" spans="1:14" s="10" customFormat="1" ht="18" x14ac:dyDescent="0.25">
      <c r="A1" s="13" t="s">
        <v>68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5.75" x14ac:dyDescent="0.25">
      <c r="A2" s="1" t="s">
        <v>53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</row>
    <row r="3" spans="1:14" ht="15" x14ac:dyDescent="0.2">
      <c r="A3" s="4" t="s">
        <v>13</v>
      </c>
      <c r="B3" s="5">
        <v>542871</v>
      </c>
      <c r="C3" s="5">
        <v>987706</v>
      </c>
      <c r="D3" s="5">
        <v>713239</v>
      </c>
      <c r="E3" s="5">
        <v>727907</v>
      </c>
      <c r="F3" s="5">
        <v>909323</v>
      </c>
      <c r="G3" s="5">
        <v>536386</v>
      </c>
      <c r="H3" s="5">
        <v>536048</v>
      </c>
      <c r="I3" s="5">
        <v>960878</v>
      </c>
      <c r="J3" s="5">
        <v>939032</v>
      </c>
      <c r="K3" s="5">
        <v>1320993</v>
      </c>
      <c r="L3" s="5">
        <v>1210917</v>
      </c>
      <c r="M3" s="5">
        <v>786643</v>
      </c>
      <c r="N3" s="5">
        <v>10171943</v>
      </c>
    </row>
    <row r="4" spans="1:14" ht="15" x14ac:dyDescent="0.2">
      <c r="A4" s="4" t="s">
        <v>14</v>
      </c>
      <c r="B4" s="5">
        <v>66243005</v>
      </c>
      <c r="C4" s="5">
        <v>66150667</v>
      </c>
      <c r="D4" s="5">
        <v>73044765</v>
      </c>
      <c r="E4" s="5">
        <v>61472105</v>
      </c>
      <c r="F4" s="5">
        <v>78429523</v>
      </c>
      <c r="G4" s="5">
        <v>70781449</v>
      </c>
      <c r="H4" s="5">
        <v>64726301</v>
      </c>
      <c r="I4" s="5">
        <v>79296754</v>
      </c>
      <c r="J4" s="5">
        <v>73981818</v>
      </c>
      <c r="K4" s="5">
        <v>73668074</v>
      </c>
      <c r="L4" s="5">
        <v>91634125</v>
      </c>
      <c r="M4" s="5">
        <v>93439001</v>
      </c>
      <c r="N4" s="5">
        <v>892867587</v>
      </c>
    </row>
    <row r="5" spans="1:14" ht="15" x14ac:dyDescent="0.2">
      <c r="A5" s="4" t="s">
        <v>15</v>
      </c>
      <c r="B5" s="5">
        <v>36442558</v>
      </c>
      <c r="C5" s="5">
        <v>37182501</v>
      </c>
      <c r="D5" s="5">
        <v>70892002</v>
      </c>
      <c r="E5" s="5">
        <v>33985937</v>
      </c>
      <c r="F5" s="5">
        <v>37892387</v>
      </c>
      <c r="G5" s="5">
        <v>82897580</v>
      </c>
      <c r="H5" s="5">
        <v>37824869</v>
      </c>
      <c r="I5" s="5">
        <v>32119948</v>
      </c>
      <c r="J5" s="5">
        <v>50310185</v>
      </c>
      <c r="K5" s="5">
        <v>71908618</v>
      </c>
      <c r="L5" s="5">
        <v>45028180</v>
      </c>
      <c r="M5" s="5">
        <v>108653369</v>
      </c>
      <c r="N5" s="5">
        <v>645138134</v>
      </c>
    </row>
    <row r="6" spans="1:14" ht="15" x14ac:dyDescent="0.2">
      <c r="A6" s="4" t="s">
        <v>16</v>
      </c>
      <c r="B6" s="5">
        <v>70135247</v>
      </c>
      <c r="C6" s="5">
        <v>80397969</v>
      </c>
      <c r="D6" s="5">
        <v>83349663</v>
      </c>
      <c r="E6" s="5">
        <v>72982428</v>
      </c>
      <c r="F6" s="5">
        <v>93192924</v>
      </c>
      <c r="G6" s="5">
        <v>75425052</v>
      </c>
      <c r="H6" s="5">
        <v>70540089</v>
      </c>
      <c r="I6" s="5">
        <v>79495156</v>
      </c>
      <c r="J6" s="5">
        <v>83221134</v>
      </c>
      <c r="K6" s="5">
        <v>78057649</v>
      </c>
      <c r="L6" s="5">
        <v>88505266</v>
      </c>
      <c r="M6" s="5">
        <v>86043864</v>
      </c>
      <c r="N6" s="5">
        <v>961346441</v>
      </c>
    </row>
    <row r="7" spans="1:14" ht="15" x14ac:dyDescent="0.2">
      <c r="A7" s="4" t="s">
        <v>17</v>
      </c>
      <c r="B7" s="5">
        <v>142250645</v>
      </c>
      <c r="C7" s="5">
        <v>142073706</v>
      </c>
      <c r="D7" s="5">
        <v>171456934</v>
      </c>
      <c r="E7" s="5">
        <v>137414086</v>
      </c>
      <c r="F7" s="5">
        <v>159373500</v>
      </c>
      <c r="G7" s="5">
        <v>164296849</v>
      </c>
      <c r="H7" s="5">
        <v>131220000</v>
      </c>
      <c r="I7" s="5">
        <v>114036738</v>
      </c>
      <c r="J7" s="5">
        <v>166022710</v>
      </c>
      <c r="K7" s="5">
        <v>146030744</v>
      </c>
      <c r="L7" s="5">
        <v>171398127</v>
      </c>
      <c r="M7" s="5">
        <v>178776408</v>
      </c>
      <c r="N7" s="5">
        <v>1824350447</v>
      </c>
    </row>
    <row r="8" spans="1:14" ht="15" x14ac:dyDescent="0.2">
      <c r="A8" s="4" t="s">
        <v>18</v>
      </c>
      <c r="B8" s="5">
        <v>142415077</v>
      </c>
      <c r="C8" s="5">
        <v>135863677</v>
      </c>
      <c r="D8" s="5">
        <v>162517972</v>
      </c>
      <c r="E8" s="5">
        <v>137276200</v>
      </c>
      <c r="F8" s="5">
        <v>140962756</v>
      </c>
      <c r="G8" s="5">
        <v>151981097</v>
      </c>
      <c r="H8" s="5">
        <v>134097897</v>
      </c>
      <c r="I8" s="5">
        <v>139886349</v>
      </c>
      <c r="J8" s="5">
        <v>163333791</v>
      </c>
      <c r="K8" s="5">
        <v>156047921</v>
      </c>
      <c r="L8" s="5">
        <v>168466853</v>
      </c>
      <c r="M8" s="5">
        <v>178807720</v>
      </c>
      <c r="N8" s="5">
        <v>1811657310</v>
      </c>
    </row>
    <row r="9" spans="1:14" ht="15" x14ac:dyDescent="0.2">
      <c r="A9" s="4" t="s">
        <v>19</v>
      </c>
      <c r="B9" s="5">
        <v>627991921</v>
      </c>
      <c r="C9" s="5">
        <v>624591444</v>
      </c>
      <c r="D9" s="5">
        <v>760362439</v>
      </c>
      <c r="E9" s="5">
        <v>816035289</v>
      </c>
      <c r="F9" s="5">
        <v>712128183</v>
      </c>
      <c r="G9" s="5">
        <v>680746301</v>
      </c>
      <c r="H9" s="5">
        <v>646159619</v>
      </c>
      <c r="I9" s="5">
        <v>628501753</v>
      </c>
      <c r="J9" s="5">
        <v>723551490</v>
      </c>
      <c r="K9" s="5">
        <v>681567377</v>
      </c>
      <c r="L9" s="5">
        <v>655433249</v>
      </c>
      <c r="M9" s="5">
        <v>729908364</v>
      </c>
      <c r="N9" s="5">
        <v>8286977429</v>
      </c>
    </row>
    <row r="10" spans="1:14" ht="15" x14ac:dyDescent="0.2">
      <c r="A10" s="4" t="s">
        <v>20</v>
      </c>
      <c r="B10" s="5">
        <v>13736203</v>
      </c>
      <c r="C10" s="5">
        <v>12649880</v>
      </c>
      <c r="D10" s="5">
        <v>15255083</v>
      </c>
      <c r="E10" s="5">
        <v>12137327</v>
      </c>
      <c r="F10" s="5">
        <v>15395680</v>
      </c>
      <c r="G10" s="5">
        <v>16116397</v>
      </c>
      <c r="H10" s="5">
        <v>13801579</v>
      </c>
      <c r="I10" s="5">
        <v>12482837</v>
      </c>
      <c r="J10" s="5">
        <v>16206060</v>
      </c>
      <c r="K10" s="5">
        <v>12413391</v>
      </c>
      <c r="L10" s="5">
        <v>19738247</v>
      </c>
      <c r="M10" s="5">
        <v>20506010</v>
      </c>
      <c r="N10" s="5">
        <v>180438694</v>
      </c>
    </row>
    <row r="11" spans="1:14" ht="15" x14ac:dyDescent="0.2">
      <c r="A11" s="4" t="s">
        <v>21</v>
      </c>
      <c r="B11" s="5">
        <v>161319048</v>
      </c>
      <c r="C11" s="5">
        <v>146490130</v>
      </c>
      <c r="D11" s="5">
        <v>160248819</v>
      </c>
      <c r="E11" s="5">
        <v>167056115</v>
      </c>
      <c r="F11" s="5">
        <v>181843791</v>
      </c>
      <c r="G11" s="5">
        <v>184709541</v>
      </c>
      <c r="H11" s="5">
        <v>158868739</v>
      </c>
      <c r="I11" s="5">
        <v>147916359</v>
      </c>
      <c r="J11" s="5">
        <v>177058420</v>
      </c>
      <c r="K11" s="5">
        <v>160047642</v>
      </c>
      <c r="L11" s="5">
        <v>163297513</v>
      </c>
      <c r="M11" s="5">
        <v>184897410</v>
      </c>
      <c r="N11" s="5">
        <v>1993753527</v>
      </c>
    </row>
    <row r="12" spans="1:14" ht="15" x14ac:dyDescent="0.2">
      <c r="A12" s="4" t="s">
        <v>22</v>
      </c>
      <c r="B12" s="5">
        <v>11977097</v>
      </c>
      <c r="C12" s="5">
        <v>13255801</v>
      </c>
      <c r="D12" s="5">
        <v>14304224</v>
      </c>
      <c r="E12" s="5">
        <v>19780398</v>
      </c>
      <c r="F12" s="5">
        <v>13615835</v>
      </c>
      <c r="G12" s="5">
        <v>12437258</v>
      </c>
      <c r="H12" s="5">
        <v>12571161</v>
      </c>
      <c r="I12" s="5">
        <v>21064613</v>
      </c>
      <c r="J12" s="5">
        <v>13065164</v>
      </c>
      <c r="K12" s="5">
        <v>12628799</v>
      </c>
      <c r="L12" s="5">
        <v>15804335</v>
      </c>
      <c r="M12" s="5">
        <v>14583524</v>
      </c>
      <c r="N12" s="5">
        <v>175088209</v>
      </c>
    </row>
    <row r="13" spans="1:14" ht="15" x14ac:dyDescent="0.2">
      <c r="A13" s="4" t="s">
        <v>23</v>
      </c>
      <c r="B13" s="5">
        <v>41288325</v>
      </c>
      <c r="C13" s="5">
        <v>46467971</v>
      </c>
      <c r="D13" s="5">
        <v>53513877</v>
      </c>
      <c r="E13" s="5">
        <v>46527958</v>
      </c>
      <c r="F13" s="5">
        <v>48605170</v>
      </c>
      <c r="G13" s="5">
        <v>50563456</v>
      </c>
      <c r="H13" s="5">
        <v>43751519</v>
      </c>
      <c r="I13" s="5">
        <v>50368656</v>
      </c>
      <c r="J13" s="5">
        <v>52930695</v>
      </c>
      <c r="K13" s="5">
        <v>44987179</v>
      </c>
      <c r="L13" s="5">
        <v>47760643</v>
      </c>
      <c r="M13" s="5">
        <v>55993660</v>
      </c>
      <c r="N13" s="5">
        <v>582759109</v>
      </c>
    </row>
    <row r="14" spans="1:14" ht="15" x14ac:dyDescent="0.2">
      <c r="A14" s="4" t="s">
        <v>24</v>
      </c>
      <c r="B14" s="5">
        <v>151966556</v>
      </c>
      <c r="C14" s="5">
        <v>169652894</v>
      </c>
      <c r="D14" s="5">
        <v>158775972</v>
      </c>
      <c r="E14" s="5">
        <v>149966136</v>
      </c>
      <c r="F14" s="5">
        <v>190858240</v>
      </c>
      <c r="G14" s="5">
        <v>154777301</v>
      </c>
      <c r="H14" s="5">
        <v>151711019</v>
      </c>
      <c r="I14" s="5">
        <v>179767340</v>
      </c>
      <c r="J14" s="5">
        <v>163974984</v>
      </c>
      <c r="K14" s="5">
        <v>165628146</v>
      </c>
      <c r="L14" s="5">
        <v>190521036</v>
      </c>
      <c r="M14" s="5">
        <v>171476368</v>
      </c>
      <c r="N14" s="5">
        <v>1999075992</v>
      </c>
    </row>
    <row r="15" spans="1:14" ht="15" x14ac:dyDescent="0.2">
      <c r="A15" s="4" t="s">
        <v>25</v>
      </c>
      <c r="B15" s="5">
        <v>153704165</v>
      </c>
      <c r="C15" s="5">
        <v>157518498</v>
      </c>
      <c r="D15" s="5">
        <v>166427356</v>
      </c>
      <c r="E15" s="5">
        <v>146542613</v>
      </c>
      <c r="F15" s="5">
        <v>165971367</v>
      </c>
      <c r="G15" s="5">
        <v>161999471</v>
      </c>
      <c r="H15" s="5">
        <v>157006475</v>
      </c>
      <c r="I15" s="5">
        <v>169453035</v>
      </c>
      <c r="J15" s="5">
        <v>174136794</v>
      </c>
      <c r="K15" s="5">
        <v>166665169</v>
      </c>
      <c r="L15" s="5">
        <v>168353332</v>
      </c>
      <c r="M15" s="5">
        <v>177671107</v>
      </c>
      <c r="N15" s="5">
        <v>1965449382</v>
      </c>
    </row>
    <row r="16" spans="1:14" ht="15" x14ac:dyDescent="0.2">
      <c r="A16" s="4" t="s">
        <v>26</v>
      </c>
      <c r="B16" s="5">
        <v>10922194</v>
      </c>
      <c r="C16" s="5">
        <v>11033841</v>
      </c>
      <c r="D16" s="5">
        <v>11177023</v>
      </c>
      <c r="E16" s="5">
        <v>9997828</v>
      </c>
      <c r="F16" s="5">
        <v>9841645</v>
      </c>
      <c r="G16" s="5">
        <v>10609838</v>
      </c>
      <c r="H16" s="5">
        <v>11015624</v>
      </c>
      <c r="I16" s="5">
        <v>10311196</v>
      </c>
      <c r="J16" s="5">
        <v>10465599</v>
      </c>
      <c r="K16" s="5">
        <v>10500920</v>
      </c>
      <c r="L16" s="5">
        <v>11896802</v>
      </c>
      <c r="M16" s="5">
        <v>12750970</v>
      </c>
      <c r="N16" s="5">
        <v>130523480</v>
      </c>
    </row>
    <row r="17" spans="1:14" ht="15" x14ac:dyDescent="0.2">
      <c r="A17" s="4" t="s">
        <v>27</v>
      </c>
      <c r="B17" s="5">
        <v>3276601</v>
      </c>
      <c r="C17" s="5">
        <v>4287584</v>
      </c>
      <c r="D17" s="5">
        <v>3111409</v>
      </c>
      <c r="E17" s="5">
        <v>2729004</v>
      </c>
      <c r="F17" s="5">
        <v>5615453</v>
      </c>
      <c r="G17" s="5">
        <v>3616237</v>
      </c>
      <c r="H17" s="5">
        <v>3301862</v>
      </c>
      <c r="I17" s="5">
        <v>4765257</v>
      </c>
      <c r="J17" s="5">
        <v>3012042</v>
      </c>
      <c r="K17" s="5">
        <v>4446843</v>
      </c>
      <c r="L17" s="5">
        <v>3215321</v>
      </c>
      <c r="M17" s="5">
        <v>3589069</v>
      </c>
      <c r="N17" s="5">
        <v>44966682</v>
      </c>
    </row>
    <row r="18" spans="1:14" ht="15" x14ac:dyDescent="0.2">
      <c r="A18" s="4" t="s">
        <v>28</v>
      </c>
      <c r="B18" s="5">
        <v>1634211513</v>
      </c>
      <c r="C18" s="5">
        <v>1648604269</v>
      </c>
      <c r="D18" s="5">
        <v>1905150777</v>
      </c>
      <c r="E18" s="5">
        <v>1814631331</v>
      </c>
      <c r="F18" s="5">
        <v>1854635777</v>
      </c>
      <c r="G18" s="5">
        <v>1821494213</v>
      </c>
      <c r="H18" s="5">
        <v>1637132801</v>
      </c>
      <c r="I18" s="5">
        <v>1670426869</v>
      </c>
      <c r="J18" s="5">
        <v>1872209918</v>
      </c>
      <c r="K18" s="5">
        <v>1785919465</v>
      </c>
      <c r="L18" s="5">
        <v>1842263946</v>
      </c>
      <c r="M18" s="5">
        <v>2017883487</v>
      </c>
      <c r="N18" s="5">
        <v>21504564366</v>
      </c>
    </row>
    <row r="19" spans="1:14" ht="15" x14ac:dyDescent="0.2">
      <c r="A19" s="14" t="s">
        <v>52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ht="15" x14ac:dyDescent="0.2">
      <c r="A20" s="11" t="s">
        <v>50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</sheetData>
  <mergeCells count="3">
    <mergeCell ref="A1:N1"/>
    <mergeCell ref="A19:N19"/>
    <mergeCell ref="A20:N20"/>
  </mergeCells>
  <hyperlinks>
    <hyperlink ref="A19:N19" location="'Table of Contents'!A7" display="Back to Table of Contents" xr:uid="{E00A0C47-6BAB-4DDC-A77D-76CE1B6AFF8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C011A-1B3B-4EAC-AFDC-08091C8AC658}">
  <sheetPr codeName="Sheet7"/>
  <dimension ref="A1:N20"/>
  <sheetViews>
    <sheetView workbookViewId="0">
      <selection sqref="A1:N1"/>
    </sheetView>
  </sheetViews>
  <sheetFormatPr defaultColWidth="0" defaultRowHeight="0" customHeight="1" zeroHeight="1" x14ac:dyDescent="0.2"/>
  <cols>
    <col min="1" max="1" width="27.7109375" style="4" customWidth="1"/>
    <col min="2" max="2" width="16.140625" style="4" customWidth="1"/>
    <col min="3" max="3" width="15.5703125" style="4" customWidth="1"/>
    <col min="4" max="5" width="16" style="4" bestFit="1" customWidth="1"/>
    <col min="6" max="6" width="15.5703125" style="4" customWidth="1"/>
    <col min="7" max="13" width="16" style="4" bestFit="1" customWidth="1"/>
    <col min="14" max="14" width="17.28515625" style="4" bestFit="1" customWidth="1"/>
    <col min="15" max="16384" width="8.85546875" style="2" hidden="1"/>
  </cols>
  <sheetData>
    <row r="1" spans="1:14" s="10" customFormat="1" ht="18" x14ac:dyDescent="0.25">
      <c r="A1" s="13" t="s">
        <v>67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5.75" x14ac:dyDescent="0.25">
      <c r="A2" s="1" t="s">
        <v>53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</row>
    <row r="3" spans="1:14" ht="15" x14ac:dyDescent="0.2">
      <c r="A3" s="4" t="s">
        <v>13</v>
      </c>
      <c r="B3" s="5">
        <v>704959</v>
      </c>
      <c r="C3" s="5">
        <v>874407</v>
      </c>
      <c r="D3" s="5">
        <v>709780</v>
      </c>
      <c r="E3" s="5">
        <v>749724</v>
      </c>
      <c r="F3" s="5">
        <v>1040345</v>
      </c>
      <c r="G3" s="5">
        <v>485926</v>
      </c>
      <c r="H3" s="5">
        <v>573574</v>
      </c>
      <c r="I3" s="5">
        <v>1047288</v>
      </c>
      <c r="J3" s="5">
        <v>1021617</v>
      </c>
      <c r="K3" s="5">
        <v>932582</v>
      </c>
      <c r="L3" s="5">
        <v>1053503</v>
      </c>
      <c r="M3" s="5">
        <v>771351</v>
      </c>
      <c r="N3" s="5">
        <v>9965056</v>
      </c>
    </row>
    <row r="4" spans="1:14" ht="15" x14ac:dyDescent="0.2">
      <c r="A4" s="4" t="s">
        <v>14</v>
      </c>
      <c r="B4" s="5">
        <v>82466750</v>
      </c>
      <c r="C4" s="5">
        <v>83307575</v>
      </c>
      <c r="D4" s="5">
        <v>105424109</v>
      </c>
      <c r="E4" s="5">
        <v>95828184</v>
      </c>
      <c r="F4" s="5">
        <v>104574446</v>
      </c>
      <c r="G4" s="5">
        <v>66267718</v>
      </c>
      <c r="H4" s="5">
        <v>62685442</v>
      </c>
      <c r="I4" s="5">
        <v>62550348</v>
      </c>
      <c r="J4" s="5">
        <v>50768573</v>
      </c>
      <c r="K4" s="5">
        <v>46807775</v>
      </c>
      <c r="L4" s="5">
        <v>48943682</v>
      </c>
      <c r="M4" s="5">
        <v>43126784</v>
      </c>
      <c r="N4" s="5">
        <v>852751386</v>
      </c>
    </row>
    <row r="5" spans="1:14" ht="15" x14ac:dyDescent="0.2">
      <c r="A5" s="4" t="s">
        <v>15</v>
      </c>
      <c r="B5" s="5">
        <v>46217763</v>
      </c>
      <c r="C5" s="5">
        <v>51708186</v>
      </c>
      <c r="D5" s="5">
        <v>53669832</v>
      </c>
      <c r="E5" s="5">
        <v>42346149</v>
      </c>
      <c r="F5" s="5">
        <v>32319474</v>
      </c>
      <c r="G5" s="5">
        <v>52656460</v>
      </c>
      <c r="H5" s="5">
        <v>62887004</v>
      </c>
      <c r="I5" s="5">
        <v>30934494</v>
      </c>
      <c r="J5" s="5">
        <v>71425145</v>
      </c>
      <c r="K5" s="5">
        <v>36766390</v>
      </c>
      <c r="L5" s="5">
        <v>42621940</v>
      </c>
      <c r="M5" s="5">
        <v>86575875</v>
      </c>
      <c r="N5" s="5">
        <v>610128712</v>
      </c>
    </row>
    <row r="6" spans="1:14" ht="15" x14ac:dyDescent="0.2">
      <c r="A6" s="4" t="s">
        <v>16</v>
      </c>
      <c r="B6" s="5">
        <v>73742079</v>
      </c>
      <c r="C6" s="5">
        <v>83852880</v>
      </c>
      <c r="D6" s="5">
        <v>84563731</v>
      </c>
      <c r="E6" s="5">
        <v>71369789</v>
      </c>
      <c r="F6" s="5">
        <v>83503621</v>
      </c>
      <c r="G6" s="5">
        <v>66536447</v>
      </c>
      <c r="H6" s="5">
        <v>63984346</v>
      </c>
      <c r="I6" s="5">
        <v>70211835</v>
      </c>
      <c r="J6" s="5">
        <v>71311747</v>
      </c>
      <c r="K6" s="5">
        <v>60555972</v>
      </c>
      <c r="L6" s="5">
        <v>66170211</v>
      </c>
      <c r="M6" s="5">
        <v>64770017</v>
      </c>
      <c r="N6" s="5">
        <v>860572675</v>
      </c>
    </row>
    <row r="7" spans="1:14" ht="15" x14ac:dyDescent="0.2">
      <c r="A7" s="4" t="s">
        <v>17</v>
      </c>
      <c r="B7" s="5">
        <v>135991304</v>
      </c>
      <c r="C7" s="5">
        <v>145224794</v>
      </c>
      <c r="D7" s="5">
        <v>148487810</v>
      </c>
      <c r="E7" s="5">
        <v>148577575</v>
      </c>
      <c r="F7" s="5">
        <v>177817788</v>
      </c>
      <c r="G7" s="5">
        <v>133834545</v>
      </c>
      <c r="H7" s="5">
        <v>168167222</v>
      </c>
      <c r="I7" s="5">
        <v>127737515</v>
      </c>
      <c r="J7" s="5">
        <v>137739535</v>
      </c>
      <c r="K7" s="5">
        <v>85180761</v>
      </c>
      <c r="L7" s="5">
        <v>138136226</v>
      </c>
      <c r="M7" s="5">
        <v>126603248</v>
      </c>
      <c r="N7" s="5">
        <v>1673498323</v>
      </c>
    </row>
    <row r="8" spans="1:14" ht="15" x14ac:dyDescent="0.2">
      <c r="A8" s="4" t="s">
        <v>18</v>
      </c>
      <c r="B8" s="5">
        <v>155254010</v>
      </c>
      <c r="C8" s="5">
        <v>166147731</v>
      </c>
      <c r="D8" s="5">
        <v>174989852</v>
      </c>
      <c r="E8" s="5">
        <v>156228309</v>
      </c>
      <c r="F8" s="5">
        <v>160356784</v>
      </c>
      <c r="G8" s="5">
        <v>128417679</v>
      </c>
      <c r="H8" s="5">
        <v>132731402</v>
      </c>
      <c r="I8" s="5">
        <v>128113906</v>
      </c>
      <c r="J8" s="5">
        <v>140993501</v>
      </c>
      <c r="K8" s="5">
        <v>117009919</v>
      </c>
      <c r="L8" s="5">
        <v>128733892</v>
      </c>
      <c r="M8" s="5">
        <v>134476463</v>
      </c>
      <c r="N8" s="5">
        <v>1723453448</v>
      </c>
    </row>
    <row r="9" spans="1:14" ht="15" x14ac:dyDescent="0.2">
      <c r="A9" s="4" t="s">
        <v>19</v>
      </c>
      <c r="B9" s="5">
        <v>623978757</v>
      </c>
      <c r="C9" s="5">
        <v>602931140</v>
      </c>
      <c r="D9" s="5">
        <v>781573636</v>
      </c>
      <c r="E9" s="5">
        <v>820264964</v>
      </c>
      <c r="F9" s="5">
        <v>687561383</v>
      </c>
      <c r="G9" s="5">
        <v>619394711</v>
      </c>
      <c r="H9" s="5">
        <v>687156052</v>
      </c>
      <c r="I9" s="5">
        <v>619188559</v>
      </c>
      <c r="J9" s="5">
        <v>720552286</v>
      </c>
      <c r="K9" s="5">
        <v>645236556</v>
      </c>
      <c r="L9" s="5">
        <v>605974885</v>
      </c>
      <c r="M9" s="5">
        <v>712169188</v>
      </c>
      <c r="N9" s="5">
        <v>8125982117</v>
      </c>
    </row>
    <row r="10" spans="1:14" ht="15" x14ac:dyDescent="0.2">
      <c r="A10" s="4" t="s">
        <v>20</v>
      </c>
      <c r="B10" s="5">
        <v>14734031</v>
      </c>
      <c r="C10" s="5">
        <v>26767369</v>
      </c>
      <c r="D10" s="5">
        <v>19057777</v>
      </c>
      <c r="E10" s="5">
        <v>18672242</v>
      </c>
      <c r="F10" s="5">
        <v>18647153</v>
      </c>
      <c r="G10" s="5">
        <v>14502414</v>
      </c>
      <c r="H10" s="5">
        <v>14302031</v>
      </c>
      <c r="I10" s="5">
        <v>11633646</v>
      </c>
      <c r="J10" s="5">
        <v>11062524</v>
      </c>
      <c r="K10" s="5">
        <v>18270265</v>
      </c>
      <c r="L10" s="5">
        <v>13176233</v>
      </c>
      <c r="M10" s="5">
        <v>8044371</v>
      </c>
      <c r="N10" s="5">
        <v>188870056</v>
      </c>
    </row>
    <row r="11" spans="1:14" ht="15" x14ac:dyDescent="0.2">
      <c r="A11" s="4" t="s">
        <v>21</v>
      </c>
      <c r="B11" s="5">
        <v>158685502</v>
      </c>
      <c r="C11" s="5">
        <v>168611354</v>
      </c>
      <c r="D11" s="5">
        <v>161874180</v>
      </c>
      <c r="E11" s="5">
        <v>172410705</v>
      </c>
      <c r="F11" s="5">
        <v>173254356</v>
      </c>
      <c r="G11" s="5">
        <v>168730729</v>
      </c>
      <c r="H11" s="5">
        <v>158234061</v>
      </c>
      <c r="I11" s="5">
        <v>179295670</v>
      </c>
      <c r="J11" s="5">
        <v>172377127</v>
      </c>
      <c r="K11" s="5">
        <v>164255002</v>
      </c>
      <c r="L11" s="5">
        <v>178010821</v>
      </c>
      <c r="M11" s="5">
        <v>173001215</v>
      </c>
      <c r="N11" s="5">
        <v>2028740722</v>
      </c>
    </row>
    <row r="12" spans="1:14" ht="15" x14ac:dyDescent="0.2">
      <c r="A12" s="4" t="s">
        <v>22</v>
      </c>
      <c r="B12" s="5">
        <v>17120023</v>
      </c>
      <c r="C12" s="5">
        <v>14726372</v>
      </c>
      <c r="D12" s="5">
        <v>17955424</v>
      </c>
      <c r="E12" s="5">
        <v>18560926</v>
      </c>
      <c r="F12" s="5">
        <v>21664060</v>
      </c>
      <c r="G12" s="5">
        <v>18013507</v>
      </c>
      <c r="H12" s="5">
        <v>5416593</v>
      </c>
      <c r="I12" s="5">
        <v>15141782</v>
      </c>
      <c r="J12" s="5">
        <v>18795869</v>
      </c>
      <c r="K12" s="5">
        <v>13743262</v>
      </c>
      <c r="L12" s="5">
        <v>13207442</v>
      </c>
      <c r="M12" s="5">
        <v>14231326</v>
      </c>
      <c r="N12" s="5">
        <v>188576586</v>
      </c>
    </row>
    <row r="13" spans="1:14" ht="15" x14ac:dyDescent="0.2">
      <c r="A13" s="4" t="s">
        <v>23</v>
      </c>
      <c r="B13" s="5">
        <v>43162508</v>
      </c>
      <c r="C13" s="5">
        <v>48391464</v>
      </c>
      <c r="D13" s="5">
        <v>54978649</v>
      </c>
      <c r="E13" s="5">
        <v>50284712</v>
      </c>
      <c r="F13" s="5">
        <v>53469948</v>
      </c>
      <c r="G13" s="5">
        <v>52702059</v>
      </c>
      <c r="H13" s="5">
        <v>45207803</v>
      </c>
      <c r="I13" s="5">
        <v>44381738</v>
      </c>
      <c r="J13" s="5">
        <v>45134982</v>
      </c>
      <c r="K13" s="5">
        <v>38171715</v>
      </c>
      <c r="L13" s="5">
        <v>44305313</v>
      </c>
      <c r="M13" s="5">
        <v>44822022</v>
      </c>
      <c r="N13" s="5">
        <v>565012913</v>
      </c>
    </row>
    <row r="14" spans="1:14" ht="15" x14ac:dyDescent="0.2">
      <c r="A14" s="4" t="s">
        <v>24</v>
      </c>
      <c r="B14" s="5">
        <v>154254931</v>
      </c>
      <c r="C14" s="5">
        <v>172690918</v>
      </c>
      <c r="D14" s="5">
        <v>168725743</v>
      </c>
      <c r="E14" s="5">
        <v>140908690</v>
      </c>
      <c r="F14" s="5">
        <v>192346958</v>
      </c>
      <c r="G14" s="5">
        <v>150576712</v>
      </c>
      <c r="H14" s="5">
        <v>146159213</v>
      </c>
      <c r="I14" s="5">
        <v>173136765</v>
      </c>
      <c r="J14" s="5">
        <v>152040550</v>
      </c>
      <c r="K14" s="5">
        <v>153518297</v>
      </c>
      <c r="L14" s="5">
        <v>180930742</v>
      </c>
      <c r="M14" s="5">
        <v>159639253</v>
      </c>
      <c r="N14" s="5">
        <v>1944928772</v>
      </c>
    </row>
    <row r="15" spans="1:14" ht="15" x14ac:dyDescent="0.2">
      <c r="A15" s="4" t="s">
        <v>25</v>
      </c>
      <c r="B15" s="5">
        <v>153822714</v>
      </c>
      <c r="C15" s="5">
        <v>157134986</v>
      </c>
      <c r="D15" s="5">
        <v>173414612</v>
      </c>
      <c r="E15" s="5">
        <v>160261083</v>
      </c>
      <c r="F15" s="5">
        <v>174134673</v>
      </c>
      <c r="G15" s="5">
        <v>166106320</v>
      </c>
      <c r="H15" s="5">
        <v>158967737</v>
      </c>
      <c r="I15" s="5">
        <v>172272752</v>
      </c>
      <c r="J15" s="5">
        <v>177917549</v>
      </c>
      <c r="K15" s="5">
        <v>167683726</v>
      </c>
      <c r="L15" s="5">
        <v>164036465</v>
      </c>
      <c r="M15" s="5">
        <v>182368673</v>
      </c>
      <c r="N15" s="5">
        <v>2008121290</v>
      </c>
    </row>
    <row r="16" spans="1:14" ht="15" x14ac:dyDescent="0.2">
      <c r="A16" s="4" t="s">
        <v>26</v>
      </c>
      <c r="B16" s="5">
        <v>11924002</v>
      </c>
      <c r="C16" s="5">
        <v>12279358</v>
      </c>
      <c r="D16" s="5">
        <v>11389276</v>
      </c>
      <c r="E16" s="5">
        <v>10308947</v>
      </c>
      <c r="F16" s="5">
        <v>10989272</v>
      </c>
      <c r="G16" s="5">
        <v>11125324</v>
      </c>
      <c r="H16" s="5">
        <v>9998354</v>
      </c>
      <c r="I16" s="5">
        <v>10968054</v>
      </c>
      <c r="J16" s="5">
        <v>11105942</v>
      </c>
      <c r="K16" s="5">
        <v>11367155</v>
      </c>
      <c r="L16" s="5">
        <v>11591131</v>
      </c>
      <c r="M16" s="5">
        <v>11994666</v>
      </c>
      <c r="N16" s="5">
        <v>135041481</v>
      </c>
    </row>
    <row r="17" spans="1:14" ht="15" x14ac:dyDescent="0.2">
      <c r="A17" s="4" t="s">
        <v>27</v>
      </c>
      <c r="B17" s="5">
        <v>2925515</v>
      </c>
      <c r="C17" s="5">
        <v>3916712</v>
      </c>
      <c r="D17" s="5">
        <v>3056877</v>
      </c>
      <c r="E17" s="5">
        <v>3411143</v>
      </c>
      <c r="F17" s="5">
        <v>4462294</v>
      </c>
      <c r="G17" s="5">
        <v>2312590</v>
      </c>
      <c r="H17" s="5">
        <v>2951366</v>
      </c>
      <c r="I17" s="5">
        <v>3771427</v>
      </c>
      <c r="J17" s="5">
        <v>3988904</v>
      </c>
      <c r="K17" s="5">
        <v>1773486</v>
      </c>
      <c r="L17" s="5">
        <v>3499231</v>
      </c>
      <c r="M17" s="5">
        <v>2412554</v>
      </c>
      <c r="N17" s="5">
        <v>38482099</v>
      </c>
    </row>
    <row r="18" spans="1:14" ht="15" x14ac:dyDescent="0.2">
      <c r="A18" s="4" t="s">
        <v>28</v>
      </c>
      <c r="B18" s="5">
        <v>1674984848</v>
      </c>
      <c r="C18" s="5">
        <v>1738565246</v>
      </c>
      <c r="D18" s="5">
        <v>1959871288</v>
      </c>
      <c r="E18" s="5">
        <v>1910183142</v>
      </c>
      <c r="F18" s="5">
        <v>1896142555</v>
      </c>
      <c r="G18" s="5">
        <v>1651663141</v>
      </c>
      <c r="H18" s="5">
        <v>1719422200</v>
      </c>
      <c r="I18" s="5">
        <v>1650385779</v>
      </c>
      <c r="J18" s="5">
        <v>1786235851</v>
      </c>
      <c r="K18" s="5">
        <v>1561272863</v>
      </c>
      <c r="L18" s="5">
        <v>1640391717</v>
      </c>
      <c r="M18" s="5">
        <v>1765007006</v>
      </c>
      <c r="N18" s="5">
        <v>20954125636</v>
      </c>
    </row>
    <row r="19" spans="1:14" ht="15" x14ac:dyDescent="0.2">
      <c r="A19" s="14" t="s">
        <v>52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ht="15" x14ac:dyDescent="0.2">
      <c r="A20" s="11" t="s">
        <v>50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</sheetData>
  <mergeCells count="3">
    <mergeCell ref="A1:N1"/>
    <mergeCell ref="A19:N19"/>
    <mergeCell ref="A20:N20"/>
  </mergeCells>
  <hyperlinks>
    <hyperlink ref="A19:N19" location="'Table of Contents'!A8" display="Back to Table of Contents" xr:uid="{465DD3E2-47A5-42DE-9A21-0C019B281CC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FBC8E-4576-434E-9E98-544C359445F9}">
  <sheetPr codeName="Sheet8"/>
  <dimension ref="A1:N20"/>
  <sheetViews>
    <sheetView workbookViewId="0">
      <selection sqref="A1:N1"/>
    </sheetView>
  </sheetViews>
  <sheetFormatPr defaultColWidth="0" defaultRowHeight="0" customHeight="1" zeroHeight="1" x14ac:dyDescent="0.2"/>
  <cols>
    <col min="1" max="1" width="27.7109375" style="2" customWidth="1"/>
    <col min="2" max="2" width="16.140625" style="2" customWidth="1"/>
    <col min="3" max="3" width="15.5703125" style="2" customWidth="1"/>
    <col min="4" max="5" width="16" style="2" bestFit="1" customWidth="1"/>
    <col min="6" max="6" width="15.5703125" style="2" customWidth="1"/>
    <col min="7" max="13" width="16" style="2" bestFit="1" customWidth="1"/>
    <col min="14" max="14" width="17.28515625" style="2" bestFit="1" customWidth="1"/>
    <col min="15" max="16384" width="8.85546875" style="2" hidden="1"/>
  </cols>
  <sheetData>
    <row r="1" spans="1:14" s="10" customFormat="1" ht="18" x14ac:dyDescent="0.25">
      <c r="A1" s="13" t="s">
        <v>66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5.75" x14ac:dyDescent="0.25">
      <c r="A2" s="1" t="s">
        <v>53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</row>
    <row r="3" spans="1:14" ht="15" x14ac:dyDescent="0.2">
      <c r="A3" s="4" t="s">
        <v>13</v>
      </c>
      <c r="B3" s="5">
        <v>1543205</v>
      </c>
      <c r="C3" s="5">
        <v>764270</v>
      </c>
      <c r="D3" s="5">
        <v>555976</v>
      </c>
      <c r="E3" s="5">
        <v>551514</v>
      </c>
      <c r="F3" s="5">
        <v>1047923</v>
      </c>
      <c r="G3" s="5">
        <v>425856</v>
      </c>
      <c r="H3" s="5">
        <v>426990</v>
      </c>
      <c r="I3" s="5">
        <v>1041881</v>
      </c>
      <c r="J3" s="5">
        <v>1160970</v>
      </c>
      <c r="K3" s="5">
        <v>1040961</v>
      </c>
      <c r="L3" s="5">
        <v>1033224</v>
      </c>
      <c r="M3" s="5">
        <v>619020</v>
      </c>
      <c r="N3" s="5">
        <v>10211790</v>
      </c>
    </row>
    <row r="4" spans="1:14" ht="15" x14ac:dyDescent="0.2">
      <c r="A4" s="4" t="s">
        <v>14</v>
      </c>
      <c r="B4" s="5">
        <v>43694193</v>
      </c>
      <c r="C4" s="5">
        <v>45690213</v>
      </c>
      <c r="D4" s="5">
        <v>56233026</v>
      </c>
      <c r="E4" s="5">
        <v>37234180</v>
      </c>
      <c r="F4" s="5">
        <v>44843157</v>
      </c>
      <c r="G4" s="5">
        <v>35361704</v>
      </c>
      <c r="H4" s="5">
        <v>54361737</v>
      </c>
      <c r="I4" s="5">
        <v>59223907</v>
      </c>
      <c r="J4" s="5">
        <v>58346421</v>
      </c>
      <c r="K4" s="5">
        <v>65773093</v>
      </c>
      <c r="L4" s="5">
        <v>66187782</v>
      </c>
      <c r="M4" s="5">
        <v>64498983</v>
      </c>
      <c r="N4" s="5">
        <v>631448396</v>
      </c>
    </row>
    <row r="5" spans="1:14" ht="15" x14ac:dyDescent="0.2">
      <c r="A5" s="4" t="s">
        <v>15</v>
      </c>
      <c r="B5" s="5">
        <v>33790512</v>
      </c>
      <c r="C5" s="5">
        <v>37524342</v>
      </c>
      <c r="D5" s="5">
        <v>34349543</v>
      </c>
      <c r="E5" s="5">
        <v>58280649</v>
      </c>
      <c r="F5" s="5">
        <v>36689359</v>
      </c>
      <c r="G5" s="5">
        <v>74100222</v>
      </c>
      <c r="H5" s="5">
        <v>19349323</v>
      </c>
      <c r="I5" s="5">
        <v>44476379</v>
      </c>
      <c r="J5" s="5">
        <v>64346260</v>
      </c>
      <c r="K5" s="5">
        <v>31100356</v>
      </c>
      <c r="L5" s="5">
        <v>43216594</v>
      </c>
      <c r="M5" s="5">
        <v>80655098</v>
      </c>
      <c r="N5" s="5">
        <v>557878637</v>
      </c>
    </row>
    <row r="6" spans="1:14" ht="15" x14ac:dyDescent="0.2">
      <c r="A6" s="4" t="s">
        <v>16</v>
      </c>
      <c r="B6" s="5">
        <v>58666732</v>
      </c>
      <c r="C6" s="5">
        <v>63876687</v>
      </c>
      <c r="D6" s="5">
        <v>56736128</v>
      </c>
      <c r="E6" s="5">
        <v>59410664</v>
      </c>
      <c r="F6" s="5">
        <v>66348308</v>
      </c>
      <c r="G6" s="5">
        <v>55954204</v>
      </c>
      <c r="H6" s="5">
        <v>49662401</v>
      </c>
      <c r="I6" s="5">
        <v>62038885</v>
      </c>
      <c r="J6" s="5">
        <v>63986888</v>
      </c>
      <c r="K6" s="5">
        <v>54683085</v>
      </c>
      <c r="L6" s="5">
        <v>66230190</v>
      </c>
      <c r="M6" s="5">
        <v>63490197</v>
      </c>
      <c r="N6" s="5">
        <v>721084369</v>
      </c>
    </row>
    <row r="7" spans="1:14" ht="15" x14ac:dyDescent="0.2">
      <c r="A7" s="4" t="s">
        <v>17</v>
      </c>
      <c r="B7" s="5">
        <v>98647956</v>
      </c>
      <c r="C7" s="5">
        <v>111032039</v>
      </c>
      <c r="D7" s="5">
        <v>99026820</v>
      </c>
      <c r="E7" s="5">
        <v>133452214</v>
      </c>
      <c r="F7" s="5">
        <v>124225341</v>
      </c>
      <c r="G7" s="5">
        <v>139132906</v>
      </c>
      <c r="H7" s="5">
        <v>84545052</v>
      </c>
      <c r="I7" s="5">
        <v>133132916</v>
      </c>
      <c r="J7" s="5">
        <v>143720018</v>
      </c>
      <c r="K7" s="5">
        <v>114432014</v>
      </c>
      <c r="L7" s="5">
        <v>137277285</v>
      </c>
      <c r="M7" s="5">
        <v>137935303</v>
      </c>
      <c r="N7" s="5">
        <v>1456559864</v>
      </c>
    </row>
    <row r="8" spans="1:14" ht="15" x14ac:dyDescent="0.2">
      <c r="A8" s="4" t="s">
        <v>18</v>
      </c>
      <c r="B8" s="5">
        <v>112067363</v>
      </c>
      <c r="C8" s="5">
        <v>114963739</v>
      </c>
      <c r="D8" s="5">
        <v>105471032</v>
      </c>
      <c r="E8" s="5">
        <v>121803560</v>
      </c>
      <c r="F8" s="5">
        <v>115247574</v>
      </c>
      <c r="G8" s="5">
        <v>119442730</v>
      </c>
      <c r="H8" s="5">
        <v>102901874</v>
      </c>
      <c r="I8" s="5">
        <v>135170023</v>
      </c>
      <c r="J8" s="5">
        <v>139183258</v>
      </c>
      <c r="K8" s="5">
        <v>123571496</v>
      </c>
      <c r="L8" s="5">
        <v>137361255</v>
      </c>
      <c r="M8" s="5">
        <v>136749752</v>
      </c>
      <c r="N8" s="5">
        <v>1463933656</v>
      </c>
    </row>
    <row r="9" spans="1:14" ht="15" x14ac:dyDescent="0.2">
      <c r="A9" s="4" t="s">
        <v>19</v>
      </c>
      <c r="B9" s="5">
        <v>589864768</v>
      </c>
      <c r="C9" s="5">
        <v>572098715</v>
      </c>
      <c r="D9" s="5">
        <v>645899749</v>
      </c>
      <c r="E9" s="5">
        <v>866879963</v>
      </c>
      <c r="F9" s="5">
        <v>650619157</v>
      </c>
      <c r="G9" s="5">
        <v>632807770</v>
      </c>
      <c r="H9" s="5">
        <v>596432970</v>
      </c>
      <c r="I9" s="5">
        <v>644972715</v>
      </c>
      <c r="J9" s="5">
        <v>730757049</v>
      </c>
      <c r="K9" s="5">
        <v>633694164</v>
      </c>
      <c r="L9" s="5">
        <v>648940816</v>
      </c>
      <c r="M9" s="5">
        <v>676437713</v>
      </c>
      <c r="N9" s="5">
        <v>7889405549</v>
      </c>
    </row>
    <row r="10" spans="1:14" ht="15" x14ac:dyDescent="0.2">
      <c r="A10" s="4" t="s">
        <v>20</v>
      </c>
      <c r="B10" s="5">
        <v>9984702</v>
      </c>
      <c r="C10" s="5">
        <v>11492181</v>
      </c>
      <c r="D10" s="5">
        <v>9610818</v>
      </c>
      <c r="E10" s="5">
        <v>9345508</v>
      </c>
      <c r="F10" s="5">
        <v>12699121</v>
      </c>
      <c r="G10" s="5">
        <v>8660887</v>
      </c>
      <c r="H10" s="5">
        <v>8959697</v>
      </c>
      <c r="I10" s="5">
        <v>12993817</v>
      </c>
      <c r="J10" s="5">
        <v>9444777</v>
      </c>
      <c r="K10" s="5">
        <v>8943205</v>
      </c>
      <c r="L10" s="5">
        <v>-10360151</v>
      </c>
      <c r="M10" s="5">
        <v>8351489</v>
      </c>
      <c r="N10" s="5">
        <v>100126051</v>
      </c>
    </row>
    <row r="11" spans="1:14" ht="15" x14ac:dyDescent="0.2">
      <c r="A11" s="4" t="s">
        <v>21</v>
      </c>
      <c r="B11" s="5">
        <v>152730415</v>
      </c>
      <c r="C11" s="5">
        <v>162172999</v>
      </c>
      <c r="D11" s="5">
        <v>154913300</v>
      </c>
      <c r="E11" s="5">
        <v>173166328</v>
      </c>
      <c r="F11" s="5">
        <v>178511588</v>
      </c>
      <c r="G11" s="5">
        <v>166383175</v>
      </c>
      <c r="H11" s="5">
        <v>169577876</v>
      </c>
      <c r="I11" s="5">
        <v>172573121</v>
      </c>
      <c r="J11" s="5">
        <v>165711596</v>
      </c>
      <c r="K11" s="5">
        <v>175682518</v>
      </c>
      <c r="L11" s="5">
        <v>173427322</v>
      </c>
      <c r="M11" s="5">
        <v>164678081</v>
      </c>
      <c r="N11" s="5">
        <v>2009528319</v>
      </c>
    </row>
    <row r="12" spans="1:14" ht="15" x14ac:dyDescent="0.2">
      <c r="A12" s="4" t="s">
        <v>22</v>
      </c>
      <c r="B12" s="5">
        <v>13152829</v>
      </c>
      <c r="C12" s="5">
        <v>13693843</v>
      </c>
      <c r="D12" s="5">
        <v>12982427</v>
      </c>
      <c r="E12" s="5">
        <v>11351938</v>
      </c>
      <c r="F12" s="5">
        <v>13150721</v>
      </c>
      <c r="G12" s="5">
        <v>12966142</v>
      </c>
      <c r="H12" s="5">
        <v>16642793</v>
      </c>
      <c r="I12" s="5">
        <v>15617308</v>
      </c>
      <c r="J12" s="5">
        <v>12826733</v>
      </c>
      <c r="K12" s="5">
        <v>12117193</v>
      </c>
      <c r="L12" s="5">
        <v>16609278</v>
      </c>
      <c r="M12" s="5">
        <v>14173835</v>
      </c>
      <c r="N12" s="5">
        <v>165285040</v>
      </c>
    </row>
    <row r="13" spans="1:14" ht="15" x14ac:dyDescent="0.2">
      <c r="A13" s="4" t="s">
        <v>23</v>
      </c>
      <c r="B13" s="5">
        <v>35389018</v>
      </c>
      <c r="C13" s="5">
        <v>38057791</v>
      </c>
      <c r="D13" s="5">
        <v>35215061</v>
      </c>
      <c r="E13" s="5">
        <v>39979303</v>
      </c>
      <c r="F13" s="5">
        <v>43424547</v>
      </c>
      <c r="G13" s="5">
        <v>41563276</v>
      </c>
      <c r="H13" s="5">
        <v>38931826</v>
      </c>
      <c r="I13" s="5">
        <v>44493193</v>
      </c>
      <c r="J13" s="5">
        <v>45326002</v>
      </c>
      <c r="K13" s="5">
        <v>37608522</v>
      </c>
      <c r="L13" s="5">
        <v>42157844</v>
      </c>
      <c r="M13" s="5">
        <v>46563133</v>
      </c>
      <c r="N13" s="5">
        <v>488709516</v>
      </c>
    </row>
    <row r="14" spans="1:14" ht="15" x14ac:dyDescent="0.2">
      <c r="A14" s="4" t="s">
        <v>24</v>
      </c>
      <c r="B14" s="5">
        <v>145729653</v>
      </c>
      <c r="C14" s="5">
        <v>168065451</v>
      </c>
      <c r="D14" s="5">
        <v>146487210</v>
      </c>
      <c r="E14" s="5">
        <v>146559564</v>
      </c>
      <c r="F14" s="5">
        <v>183838339</v>
      </c>
      <c r="G14" s="5">
        <v>143779079</v>
      </c>
      <c r="H14" s="5">
        <v>137315490</v>
      </c>
      <c r="I14" s="5">
        <v>173128038</v>
      </c>
      <c r="J14" s="5">
        <v>153777119</v>
      </c>
      <c r="K14" s="5">
        <v>151184135</v>
      </c>
      <c r="L14" s="5">
        <v>186667960</v>
      </c>
      <c r="M14" s="5">
        <v>163371378</v>
      </c>
      <c r="N14" s="5">
        <v>1899903416</v>
      </c>
    </row>
    <row r="15" spans="1:14" ht="15" x14ac:dyDescent="0.2">
      <c r="A15" s="4" t="s">
        <v>25</v>
      </c>
      <c r="B15" s="5">
        <v>153812925</v>
      </c>
      <c r="C15" s="5">
        <v>162662610</v>
      </c>
      <c r="D15" s="5">
        <v>161879241</v>
      </c>
      <c r="E15" s="5">
        <v>153370000</v>
      </c>
      <c r="F15" s="5">
        <v>161748792</v>
      </c>
      <c r="G15" s="5">
        <v>168600131</v>
      </c>
      <c r="H15" s="5">
        <v>157611640</v>
      </c>
      <c r="I15" s="5">
        <v>176338071</v>
      </c>
      <c r="J15" s="5">
        <v>180449093</v>
      </c>
      <c r="K15" s="5">
        <v>170723339</v>
      </c>
      <c r="L15" s="5">
        <v>170032027</v>
      </c>
      <c r="M15" s="5">
        <v>185749562</v>
      </c>
      <c r="N15" s="5">
        <v>2002977431</v>
      </c>
    </row>
    <row r="16" spans="1:14" ht="15" x14ac:dyDescent="0.2">
      <c r="A16" s="4" t="s">
        <v>26</v>
      </c>
      <c r="B16" s="5">
        <v>11800710</v>
      </c>
      <c r="C16" s="5">
        <v>11842319</v>
      </c>
      <c r="D16" s="5">
        <v>11212148</v>
      </c>
      <c r="E16" s="5">
        <v>10350032</v>
      </c>
      <c r="F16" s="5">
        <v>10843357</v>
      </c>
      <c r="G16" s="5">
        <v>10929663</v>
      </c>
      <c r="H16" s="5">
        <v>10778925</v>
      </c>
      <c r="I16" s="5">
        <v>11114297</v>
      </c>
      <c r="J16" s="5">
        <v>10841774</v>
      </c>
      <c r="K16" s="5">
        <v>8438528</v>
      </c>
      <c r="L16" s="5">
        <v>12099935</v>
      </c>
      <c r="M16" s="5">
        <v>12291785</v>
      </c>
      <c r="N16" s="5">
        <v>132543473</v>
      </c>
    </row>
    <row r="17" spans="1:14" ht="15" x14ac:dyDescent="0.2">
      <c r="A17" s="4" t="s">
        <v>27</v>
      </c>
      <c r="B17" s="5">
        <v>2245850</v>
      </c>
      <c r="C17" s="5">
        <v>3275893</v>
      </c>
      <c r="D17" s="5">
        <v>2310720</v>
      </c>
      <c r="E17" s="5">
        <v>2207736</v>
      </c>
      <c r="F17" s="5">
        <v>3516006</v>
      </c>
      <c r="G17" s="5">
        <v>2947221</v>
      </c>
      <c r="H17" s="5">
        <v>2524852</v>
      </c>
      <c r="I17" s="5">
        <v>4242449</v>
      </c>
      <c r="J17" s="5">
        <v>2283808</v>
      </c>
      <c r="K17" s="5">
        <v>2249352</v>
      </c>
      <c r="L17" s="5">
        <v>3627944</v>
      </c>
      <c r="M17" s="5">
        <v>2254952</v>
      </c>
      <c r="N17" s="5">
        <v>33686783</v>
      </c>
    </row>
    <row r="18" spans="1:14" ht="15" x14ac:dyDescent="0.2">
      <c r="A18" s="4" t="s">
        <v>28</v>
      </c>
      <c r="B18" s="5">
        <v>1463120831</v>
      </c>
      <c r="C18" s="5">
        <v>1517213092</v>
      </c>
      <c r="D18" s="5">
        <v>1532883199</v>
      </c>
      <c r="E18" s="5">
        <v>1823943153</v>
      </c>
      <c r="F18" s="5">
        <v>1646753290</v>
      </c>
      <c r="G18" s="5">
        <v>1613054966</v>
      </c>
      <c r="H18" s="5">
        <v>1450023446</v>
      </c>
      <c r="I18" s="5">
        <v>1690557000</v>
      </c>
      <c r="J18" s="5">
        <v>1782161766</v>
      </c>
      <c r="K18" s="5">
        <v>1591241961</v>
      </c>
      <c r="L18" s="5">
        <v>1694509305</v>
      </c>
      <c r="M18" s="5">
        <v>1757820281</v>
      </c>
      <c r="N18" s="5">
        <v>19563282290</v>
      </c>
    </row>
    <row r="19" spans="1:14" ht="15" x14ac:dyDescent="0.2">
      <c r="A19" s="14" t="s">
        <v>52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ht="15" x14ac:dyDescent="0.2">
      <c r="A20" s="11" t="s">
        <v>50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</sheetData>
  <mergeCells count="3">
    <mergeCell ref="A1:N1"/>
    <mergeCell ref="A19:N19"/>
    <mergeCell ref="A20:N20"/>
  </mergeCells>
  <hyperlinks>
    <hyperlink ref="A19:N19" location="'Table of Contents'!A9" display="Back to Table of Contents" xr:uid="{E9BBA364-7B98-41D4-B697-46AD00845C16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A878F-6A5A-430C-A3C4-700A61E751EC}">
  <sheetPr codeName="Sheet9"/>
  <dimension ref="A1:N20"/>
  <sheetViews>
    <sheetView workbookViewId="0">
      <selection sqref="A1:N1"/>
    </sheetView>
  </sheetViews>
  <sheetFormatPr defaultColWidth="0" defaultRowHeight="0" customHeight="1" zeroHeight="1" x14ac:dyDescent="0.2"/>
  <cols>
    <col min="1" max="1" width="27.7109375" style="4" customWidth="1"/>
    <col min="2" max="2" width="16.140625" style="4" customWidth="1"/>
    <col min="3" max="3" width="15.5703125" style="4" customWidth="1"/>
    <col min="4" max="5" width="16" style="4" bestFit="1" customWidth="1"/>
    <col min="6" max="6" width="15.5703125" style="4" customWidth="1"/>
    <col min="7" max="13" width="16" style="4" bestFit="1" customWidth="1"/>
    <col min="14" max="14" width="17.28515625" style="4" bestFit="1" customWidth="1"/>
    <col min="15" max="16384" width="8.85546875" style="2" hidden="1"/>
  </cols>
  <sheetData>
    <row r="1" spans="1:14" s="10" customFormat="1" ht="18" x14ac:dyDescent="0.25">
      <c r="A1" s="13" t="s">
        <v>65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5.75" x14ac:dyDescent="0.25">
      <c r="A2" s="1" t="s">
        <v>53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</row>
    <row r="3" spans="1:14" ht="15" x14ac:dyDescent="0.2">
      <c r="A3" s="4" t="s">
        <v>13</v>
      </c>
      <c r="B3" s="5">
        <v>472218</v>
      </c>
      <c r="C3" s="5">
        <v>784511</v>
      </c>
      <c r="D3" s="5">
        <v>722077</v>
      </c>
      <c r="E3" s="5">
        <v>742515</v>
      </c>
      <c r="F3" s="5">
        <v>1197893</v>
      </c>
      <c r="G3" s="5">
        <v>244592</v>
      </c>
      <c r="H3" s="5">
        <v>556426</v>
      </c>
      <c r="I3" s="5">
        <v>1191865</v>
      </c>
      <c r="J3" s="5">
        <v>1068040</v>
      </c>
      <c r="K3" s="5">
        <v>1005480</v>
      </c>
      <c r="L3" s="5">
        <v>996947</v>
      </c>
      <c r="M3" s="5">
        <v>589086</v>
      </c>
      <c r="N3" s="5">
        <v>9571650</v>
      </c>
    </row>
    <row r="4" spans="1:14" ht="15" x14ac:dyDescent="0.2">
      <c r="A4" s="4" t="s">
        <v>14</v>
      </c>
      <c r="B4" s="5">
        <v>67903324</v>
      </c>
      <c r="C4" s="5">
        <v>68035250</v>
      </c>
      <c r="D4" s="5">
        <v>78793644</v>
      </c>
      <c r="E4" s="5">
        <v>75745297</v>
      </c>
      <c r="F4" s="5">
        <v>94660308</v>
      </c>
      <c r="G4" s="5">
        <v>66948446</v>
      </c>
      <c r="H4" s="5">
        <v>68951310</v>
      </c>
      <c r="I4" s="5">
        <v>111469970</v>
      </c>
      <c r="J4" s="5">
        <v>96008949</v>
      </c>
      <c r="K4" s="5">
        <v>94582190</v>
      </c>
      <c r="L4" s="5">
        <v>106460881</v>
      </c>
      <c r="M4" s="5">
        <v>102623921</v>
      </c>
      <c r="N4" s="5">
        <v>1032183490</v>
      </c>
    </row>
    <row r="5" spans="1:14" ht="15" x14ac:dyDescent="0.2">
      <c r="A5" s="4" t="s">
        <v>15</v>
      </c>
      <c r="B5" s="5">
        <v>27295539</v>
      </c>
      <c r="C5" s="5">
        <v>42971638</v>
      </c>
      <c r="D5" s="5">
        <v>64281980</v>
      </c>
      <c r="E5" s="5">
        <v>33668684</v>
      </c>
      <c r="F5" s="5">
        <v>31782069</v>
      </c>
      <c r="G5" s="5">
        <v>76250112</v>
      </c>
      <c r="H5" s="5">
        <v>32436438</v>
      </c>
      <c r="I5" s="5">
        <v>32970701</v>
      </c>
      <c r="J5" s="5">
        <v>68419107</v>
      </c>
      <c r="K5" s="5">
        <v>37807360</v>
      </c>
      <c r="L5" s="5">
        <v>40678263</v>
      </c>
      <c r="M5" s="5">
        <v>83526339</v>
      </c>
      <c r="N5" s="5">
        <v>572088230</v>
      </c>
    </row>
    <row r="6" spans="1:14" ht="15" x14ac:dyDescent="0.2">
      <c r="A6" s="4" t="s">
        <v>16</v>
      </c>
      <c r="B6" s="5">
        <v>62466417</v>
      </c>
      <c r="C6" s="5">
        <v>67253332</v>
      </c>
      <c r="D6" s="5">
        <v>65978949</v>
      </c>
      <c r="E6" s="5">
        <v>63711746</v>
      </c>
      <c r="F6" s="5">
        <v>75015411</v>
      </c>
      <c r="G6" s="5">
        <v>59130842</v>
      </c>
      <c r="H6" s="5">
        <v>52667575</v>
      </c>
      <c r="I6" s="5">
        <v>71022944</v>
      </c>
      <c r="J6" s="5">
        <v>67216495</v>
      </c>
      <c r="K6" s="5">
        <v>64364106</v>
      </c>
      <c r="L6" s="5">
        <v>80323672</v>
      </c>
      <c r="M6" s="5">
        <v>70749979</v>
      </c>
      <c r="N6" s="5">
        <v>799901468</v>
      </c>
    </row>
    <row r="7" spans="1:14" ht="15" x14ac:dyDescent="0.2">
      <c r="A7" s="4" t="s">
        <v>17</v>
      </c>
      <c r="B7" s="5">
        <v>107012294</v>
      </c>
      <c r="C7" s="5">
        <v>110230333</v>
      </c>
      <c r="D7" s="5">
        <v>136877498</v>
      </c>
      <c r="E7" s="5">
        <v>105640058</v>
      </c>
      <c r="F7" s="5">
        <v>144818285</v>
      </c>
      <c r="G7" s="5">
        <v>146684685</v>
      </c>
      <c r="H7" s="5">
        <v>120227072</v>
      </c>
      <c r="I7" s="5">
        <v>142674757</v>
      </c>
      <c r="J7" s="5">
        <v>175350025</v>
      </c>
      <c r="K7" s="5">
        <v>134712462</v>
      </c>
      <c r="L7" s="5">
        <v>129023358</v>
      </c>
      <c r="M7" s="5">
        <v>143069127</v>
      </c>
      <c r="N7" s="5">
        <v>1596319954</v>
      </c>
    </row>
    <row r="8" spans="1:14" ht="15" x14ac:dyDescent="0.2">
      <c r="A8" s="4" t="s">
        <v>18</v>
      </c>
      <c r="B8" s="5">
        <v>124242161</v>
      </c>
      <c r="C8" s="5">
        <v>136591226</v>
      </c>
      <c r="D8" s="5">
        <v>133676623</v>
      </c>
      <c r="E8" s="5">
        <v>124637212</v>
      </c>
      <c r="F8" s="5">
        <v>140465963</v>
      </c>
      <c r="G8" s="5">
        <v>128842369</v>
      </c>
      <c r="H8" s="5">
        <v>117655015</v>
      </c>
      <c r="I8" s="5">
        <v>148613891</v>
      </c>
      <c r="J8" s="5">
        <v>151066970</v>
      </c>
      <c r="K8" s="5">
        <v>125273650</v>
      </c>
      <c r="L8" s="5">
        <v>158690828</v>
      </c>
      <c r="M8" s="5">
        <v>157235857</v>
      </c>
      <c r="N8" s="5">
        <v>1646991765</v>
      </c>
    </row>
    <row r="9" spans="1:14" ht="15" x14ac:dyDescent="0.2">
      <c r="A9" s="4" t="s">
        <v>19</v>
      </c>
      <c r="B9" s="5">
        <v>614293850</v>
      </c>
      <c r="C9" s="5">
        <v>608901033</v>
      </c>
      <c r="D9" s="5">
        <v>766578107</v>
      </c>
      <c r="E9" s="5">
        <v>824091722</v>
      </c>
      <c r="F9" s="5">
        <v>683821204</v>
      </c>
      <c r="G9" s="5">
        <v>676122945</v>
      </c>
      <c r="H9" s="5">
        <v>652966931</v>
      </c>
      <c r="I9" s="5">
        <v>684664696</v>
      </c>
      <c r="J9" s="5">
        <v>767980833</v>
      </c>
      <c r="K9" s="5">
        <v>666440323</v>
      </c>
      <c r="L9" s="5">
        <v>673536202</v>
      </c>
      <c r="M9" s="5">
        <v>746972449</v>
      </c>
      <c r="N9" s="5">
        <v>8366370295</v>
      </c>
    </row>
    <row r="10" spans="1:14" ht="15" x14ac:dyDescent="0.2">
      <c r="A10" s="4" t="s">
        <v>20</v>
      </c>
      <c r="B10" s="5">
        <v>10112704</v>
      </c>
      <c r="C10" s="5">
        <v>12566036</v>
      </c>
      <c r="D10" s="5">
        <v>14263978</v>
      </c>
      <c r="E10" s="5">
        <v>14884597</v>
      </c>
      <c r="F10" s="5">
        <v>17857107</v>
      </c>
      <c r="G10" s="5">
        <v>16191144</v>
      </c>
      <c r="H10" s="5">
        <v>13535229</v>
      </c>
      <c r="I10" s="5">
        <v>11598013</v>
      </c>
      <c r="J10" s="5">
        <v>12697749</v>
      </c>
      <c r="K10" s="5">
        <v>12152463</v>
      </c>
      <c r="L10" s="5">
        <v>18959439</v>
      </c>
      <c r="M10" s="5">
        <v>15646841</v>
      </c>
      <c r="N10" s="5">
        <v>170465300</v>
      </c>
    </row>
    <row r="11" spans="1:14" ht="15" x14ac:dyDescent="0.2">
      <c r="A11" s="4" t="s">
        <v>21</v>
      </c>
      <c r="B11" s="5">
        <v>165357790</v>
      </c>
      <c r="C11" s="5">
        <v>175373247</v>
      </c>
      <c r="D11" s="5">
        <v>171066519</v>
      </c>
      <c r="E11" s="5">
        <v>192160254</v>
      </c>
      <c r="F11" s="5">
        <v>180752873</v>
      </c>
      <c r="G11" s="5">
        <v>168825597</v>
      </c>
      <c r="H11" s="5">
        <v>175788994</v>
      </c>
      <c r="I11" s="5">
        <v>211730003</v>
      </c>
      <c r="J11" s="5">
        <v>181235961</v>
      </c>
      <c r="K11" s="5">
        <v>173741370</v>
      </c>
      <c r="L11" s="5">
        <v>178099042</v>
      </c>
      <c r="M11" s="5">
        <v>185658654</v>
      </c>
      <c r="N11" s="5">
        <v>2159790304</v>
      </c>
    </row>
    <row r="12" spans="1:14" ht="15" x14ac:dyDescent="0.2">
      <c r="A12" s="4" t="s">
        <v>22</v>
      </c>
      <c r="B12" s="5">
        <v>10998737</v>
      </c>
      <c r="C12" s="5">
        <v>11747840</v>
      </c>
      <c r="D12" s="5">
        <v>11701747</v>
      </c>
      <c r="E12" s="5">
        <v>11929694</v>
      </c>
      <c r="F12" s="5">
        <v>18956794</v>
      </c>
      <c r="G12" s="5">
        <v>13330447</v>
      </c>
      <c r="H12" s="5">
        <v>11969868</v>
      </c>
      <c r="I12" s="5">
        <v>13954774</v>
      </c>
      <c r="J12" s="5">
        <v>12839930</v>
      </c>
      <c r="K12" s="5">
        <v>14147666</v>
      </c>
      <c r="L12" s="5">
        <v>15615952</v>
      </c>
      <c r="M12" s="5">
        <v>16073496</v>
      </c>
      <c r="N12" s="5">
        <v>163266945</v>
      </c>
    </row>
    <row r="13" spans="1:14" ht="15" x14ac:dyDescent="0.2">
      <c r="A13" s="4" t="s">
        <v>23</v>
      </c>
      <c r="B13" s="5">
        <v>45004057</v>
      </c>
      <c r="C13" s="5">
        <v>43714673</v>
      </c>
      <c r="D13" s="5">
        <v>47062585</v>
      </c>
      <c r="E13" s="5">
        <v>39967221</v>
      </c>
      <c r="F13" s="5">
        <v>47358626</v>
      </c>
      <c r="G13" s="5">
        <v>50738084</v>
      </c>
      <c r="H13" s="5">
        <v>43869270</v>
      </c>
      <c r="I13" s="5">
        <v>47084929</v>
      </c>
      <c r="J13" s="5">
        <v>51143935</v>
      </c>
      <c r="K13" s="5">
        <v>47041832</v>
      </c>
      <c r="L13" s="5">
        <v>47604238</v>
      </c>
      <c r="M13" s="5">
        <v>54498276</v>
      </c>
      <c r="N13" s="5">
        <v>565087726</v>
      </c>
    </row>
    <row r="14" spans="1:14" ht="15" x14ac:dyDescent="0.2">
      <c r="A14" s="4" t="s">
        <v>24</v>
      </c>
      <c r="B14" s="5">
        <v>153960223</v>
      </c>
      <c r="C14" s="5">
        <v>172454317</v>
      </c>
      <c r="D14" s="5">
        <v>164112658</v>
      </c>
      <c r="E14" s="5">
        <v>151760895</v>
      </c>
      <c r="F14" s="5">
        <v>191751087</v>
      </c>
      <c r="G14" s="5">
        <v>160720963</v>
      </c>
      <c r="H14" s="5">
        <v>148352641</v>
      </c>
      <c r="I14" s="5">
        <v>197329614</v>
      </c>
      <c r="J14" s="5">
        <v>171290979</v>
      </c>
      <c r="K14" s="5">
        <v>162072222</v>
      </c>
      <c r="L14" s="5">
        <v>201612332</v>
      </c>
      <c r="M14" s="5">
        <v>180716815</v>
      </c>
      <c r="N14" s="5">
        <v>2056134746</v>
      </c>
    </row>
    <row r="15" spans="1:14" ht="15" x14ac:dyDescent="0.2">
      <c r="A15" s="4" t="s">
        <v>25</v>
      </c>
      <c r="B15" s="5">
        <v>165774077</v>
      </c>
      <c r="C15" s="5">
        <v>169501513</v>
      </c>
      <c r="D15" s="5">
        <v>181026076</v>
      </c>
      <c r="E15" s="5">
        <v>160755311</v>
      </c>
      <c r="F15" s="5">
        <v>177953255</v>
      </c>
      <c r="G15" s="5">
        <v>178483735</v>
      </c>
      <c r="H15" s="5">
        <v>163856869</v>
      </c>
      <c r="I15" s="5">
        <v>192538007</v>
      </c>
      <c r="J15" s="5">
        <v>194567054</v>
      </c>
      <c r="K15" s="5">
        <v>180995166</v>
      </c>
      <c r="L15" s="5">
        <v>184868755</v>
      </c>
      <c r="M15" s="5">
        <v>199442520</v>
      </c>
      <c r="N15" s="5">
        <v>2149762338</v>
      </c>
    </row>
    <row r="16" spans="1:14" ht="15" x14ac:dyDescent="0.2">
      <c r="A16" s="4" t="s">
        <v>26</v>
      </c>
      <c r="B16" s="5">
        <v>11619108</v>
      </c>
      <c r="C16" s="5">
        <v>11954318</v>
      </c>
      <c r="D16" s="5">
        <v>12040257</v>
      </c>
      <c r="E16" s="5">
        <v>10347055</v>
      </c>
      <c r="F16" s="5">
        <v>11221744</v>
      </c>
      <c r="G16" s="5">
        <v>11716510</v>
      </c>
      <c r="H16" s="5">
        <v>10365722</v>
      </c>
      <c r="I16" s="5">
        <v>11589762</v>
      </c>
      <c r="J16" s="5">
        <v>11290710</v>
      </c>
      <c r="K16" s="5">
        <v>11692237</v>
      </c>
      <c r="L16" s="5">
        <v>12438788</v>
      </c>
      <c r="M16" s="5">
        <v>13153244</v>
      </c>
      <c r="N16" s="5">
        <v>139429455</v>
      </c>
    </row>
    <row r="17" spans="1:14" ht="15" x14ac:dyDescent="0.2">
      <c r="A17" s="4" t="s">
        <v>27</v>
      </c>
      <c r="B17" s="5">
        <v>2631631</v>
      </c>
      <c r="C17" s="5">
        <v>3872512</v>
      </c>
      <c r="D17" s="5">
        <v>2968127</v>
      </c>
      <c r="E17" s="5">
        <v>2499716</v>
      </c>
      <c r="F17" s="5">
        <v>3727631</v>
      </c>
      <c r="G17" s="5">
        <v>5018287</v>
      </c>
      <c r="H17" s="5">
        <v>2163577</v>
      </c>
      <c r="I17" s="5">
        <v>3147488</v>
      </c>
      <c r="J17" s="5">
        <v>2033380</v>
      </c>
      <c r="K17" s="5">
        <v>2015107</v>
      </c>
      <c r="L17" s="5">
        <v>3143715</v>
      </c>
      <c r="M17" s="5">
        <v>2439240</v>
      </c>
      <c r="N17" s="5">
        <v>35660411</v>
      </c>
    </row>
    <row r="18" spans="1:14" ht="15" x14ac:dyDescent="0.2">
      <c r="A18" s="4" t="s">
        <v>28</v>
      </c>
      <c r="B18" s="5">
        <v>1569144130</v>
      </c>
      <c r="C18" s="5">
        <v>1635951779</v>
      </c>
      <c r="D18" s="5">
        <v>1851150825</v>
      </c>
      <c r="E18" s="5">
        <v>1812541977</v>
      </c>
      <c r="F18" s="5">
        <v>1821340250</v>
      </c>
      <c r="G18" s="5">
        <v>1759248758</v>
      </c>
      <c r="H18" s="5">
        <v>1615362937</v>
      </c>
      <c r="I18" s="5">
        <v>1881581414</v>
      </c>
      <c r="J18" s="5">
        <v>1964210117</v>
      </c>
      <c r="K18" s="5">
        <v>1728043634</v>
      </c>
      <c r="L18" s="5">
        <v>1852052412</v>
      </c>
      <c r="M18" s="5">
        <v>1972395844</v>
      </c>
      <c r="N18" s="5">
        <v>21463024077</v>
      </c>
    </row>
    <row r="19" spans="1:14" ht="15" x14ac:dyDescent="0.2">
      <c r="A19" s="14" t="s">
        <v>52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ht="15" x14ac:dyDescent="0.2">
      <c r="A20" s="11" t="s">
        <v>50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</sheetData>
  <mergeCells count="3">
    <mergeCell ref="A1:N1"/>
    <mergeCell ref="A19:N19"/>
    <mergeCell ref="A20:N20"/>
  </mergeCells>
  <hyperlinks>
    <hyperlink ref="A19:N19" location="'Table of Contents'!A10" display="Back to Table of Contents" xr:uid="{033FD853-E1EC-4D22-ADB6-F9D6F8C77304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3EE12-32F6-4BBF-B683-BC1C0EEEDB77}">
  <sheetPr codeName="Sheet10"/>
  <dimension ref="A1:N20"/>
  <sheetViews>
    <sheetView workbookViewId="0">
      <selection sqref="A1:N1"/>
    </sheetView>
  </sheetViews>
  <sheetFormatPr defaultColWidth="0" defaultRowHeight="0" customHeight="1" zeroHeight="1" x14ac:dyDescent="0.2"/>
  <cols>
    <col min="1" max="1" width="27.7109375" style="4" customWidth="1"/>
    <col min="2" max="2" width="16.140625" style="4" customWidth="1"/>
    <col min="3" max="3" width="15.5703125" style="4" customWidth="1"/>
    <col min="4" max="5" width="16" style="4" bestFit="1" customWidth="1"/>
    <col min="6" max="6" width="15.5703125" style="4" customWidth="1"/>
    <col min="7" max="13" width="16" style="4" bestFit="1" customWidth="1"/>
    <col min="14" max="14" width="17.28515625" style="4" bestFit="1" customWidth="1"/>
    <col min="15" max="16384" width="8.85546875" style="2" hidden="1"/>
  </cols>
  <sheetData>
    <row r="1" spans="1:14" s="10" customFormat="1" ht="18" x14ac:dyDescent="0.25">
      <c r="A1" s="13" t="s">
        <v>64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5.75" x14ac:dyDescent="0.25">
      <c r="A2" s="1" t="s">
        <v>53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</row>
    <row r="3" spans="1:14" ht="15" x14ac:dyDescent="0.2">
      <c r="A3" s="4" t="s">
        <v>13</v>
      </c>
      <c r="B3" s="5">
        <v>529465</v>
      </c>
      <c r="C3" s="5">
        <v>931338</v>
      </c>
      <c r="D3" s="5">
        <v>703314</v>
      </c>
      <c r="E3" s="5">
        <v>731709</v>
      </c>
      <c r="F3" s="5">
        <v>973136</v>
      </c>
      <c r="G3" s="5">
        <v>535867</v>
      </c>
      <c r="H3" s="5">
        <v>741107</v>
      </c>
      <c r="I3" s="5">
        <v>1364835</v>
      </c>
      <c r="J3" s="5">
        <v>1490573</v>
      </c>
      <c r="K3" s="5">
        <v>1478143</v>
      </c>
      <c r="L3" s="5">
        <v>1062492</v>
      </c>
      <c r="M3" s="5">
        <v>923431</v>
      </c>
      <c r="N3" s="5">
        <v>11465410</v>
      </c>
    </row>
    <row r="4" spans="1:14" ht="15" x14ac:dyDescent="0.2">
      <c r="A4" s="4" t="s">
        <v>14</v>
      </c>
      <c r="B4" s="5">
        <v>109393032</v>
      </c>
      <c r="C4" s="5">
        <v>113084856</v>
      </c>
      <c r="D4" s="5">
        <v>118189742</v>
      </c>
      <c r="E4" s="5">
        <v>110453527</v>
      </c>
      <c r="F4" s="5">
        <v>138547710</v>
      </c>
      <c r="G4" s="5">
        <v>122120393</v>
      </c>
      <c r="H4" s="5">
        <v>120021257</v>
      </c>
      <c r="I4" s="5">
        <v>141878752</v>
      </c>
      <c r="J4" s="5">
        <v>138385960</v>
      </c>
      <c r="K4" s="5">
        <v>108495647</v>
      </c>
      <c r="L4" s="5">
        <v>156837199</v>
      </c>
      <c r="M4" s="5">
        <v>193068697</v>
      </c>
      <c r="N4" s="5">
        <v>1570476772</v>
      </c>
    </row>
    <row r="5" spans="1:14" ht="15" x14ac:dyDescent="0.2">
      <c r="A5" s="4" t="s">
        <v>15</v>
      </c>
      <c r="B5" s="5">
        <v>49565121</v>
      </c>
      <c r="C5" s="5">
        <v>48788502</v>
      </c>
      <c r="D5" s="5">
        <v>70304004</v>
      </c>
      <c r="E5" s="5">
        <v>39342202</v>
      </c>
      <c r="F5" s="5">
        <v>44371413</v>
      </c>
      <c r="G5" s="5">
        <v>69018210</v>
      </c>
      <c r="H5" s="5">
        <v>37655252</v>
      </c>
      <c r="I5" s="5">
        <v>40114431</v>
      </c>
      <c r="J5" s="5">
        <v>64853967</v>
      </c>
      <c r="K5" s="5">
        <v>31669507</v>
      </c>
      <c r="L5" s="5">
        <v>42136388</v>
      </c>
      <c r="M5" s="5">
        <v>87006578</v>
      </c>
      <c r="N5" s="5">
        <v>624825575</v>
      </c>
    </row>
    <row r="6" spans="1:14" ht="15" x14ac:dyDescent="0.2">
      <c r="A6" s="4" t="s">
        <v>16</v>
      </c>
      <c r="B6" s="5">
        <v>73956084</v>
      </c>
      <c r="C6" s="5">
        <v>83364316</v>
      </c>
      <c r="D6" s="5">
        <v>75651025</v>
      </c>
      <c r="E6" s="5">
        <v>73376873</v>
      </c>
      <c r="F6" s="5">
        <v>86817847</v>
      </c>
      <c r="G6" s="5">
        <v>74765817</v>
      </c>
      <c r="H6" s="5">
        <v>71481402</v>
      </c>
      <c r="I6" s="5">
        <v>83726957</v>
      </c>
      <c r="J6" s="5">
        <v>80922021</v>
      </c>
      <c r="K6" s="5">
        <v>81147075</v>
      </c>
      <c r="L6" s="5">
        <v>95660183</v>
      </c>
      <c r="M6" s="5">
        <v>88897815</v>
      </c>
      <c r="N6" s="5">
        <v>969767415</v>
      </c>
    </row>
    <row r="7" spans="1:14" ht="15" x14ac:dyDescent="0.2">
      <c r="A7" s="4" t="s">
        <v>17</v>
      </c>
      <c r="B7" s="5">
        <v>120084545</v>
      </c>
      <c r="C7" s="5">
        <v>180808341</v>
      </c>
      <c r="D7" s="5">
        <v>177485236</v>
      </c>
      <c r="E7" s="5">
        <v>135456975</v>
      </c>
      <c r="F7" s="5">
        <v>191792881</v>
      </c>
      <c r="G7" s="5">
        <v>176557295</v>
      </c>
      <c r="H7" s="5">
        <v>120237700</v>
      </c>
      <c r="I7" s="5">
        <v>177491898</v>
      </c>
      <c r="J7" s="5">
        <v>203984280</v>
      </c>
      <c r="K7" s="5">
        <v>162649181</v>
      </c>
      <c r="L7" s="5">
        <v>179017203</v>
      </c>
      <c r="M7" s="5">
        <v>207104297</v>
      </c>
      <c r="N7" s="5">
        <v>2032669832</v>
      </c>
    </row>
    <row r="8" spans="1:14" ht="15" x14ac:dyDescent="0.2">
      <c r="A8" s="4" t="s">
        <v>18</v>
      </c>
      <c r="B8" s="5">
        <v>162600358</v>
      </c>
      <c r="C8" s="5">
        <v>150680488</v>
      </c>
      <c r="D8" s="5">
        <v>159984714</v>
      </c>
      <c r="E8" s="5">
        <v>143588523</v>
      </c>
      <c r="F8" s="5">
        <v>164253930</v>
      </c>
      <c r="G8" s="5">
        <v>153063901</v>
      </c>
      <c r="H8" s="5">
        <v>143784560</v>
      </c>
      <c r="I8" s="5">
        <v>169598695</v>
      </c>
      <c r="J8" s="5">
        <v>177245483</v>
      </c>
      <c r="K8" s="5">
        <v>166612694</v>
      </c>
      <c r="L8" s="5">
        <v>176097242</v>
      </c>
      <c r="M8" s="5">
        <v>179469273</v>
      </c>
      <c r="N8" s="5">
        <v>1946979861</v>
      </c>
    </row>
    <row r="9" spans="1:14" ht="15" x14ac:dyDescent="0.2">
      <c r="A9" s="4" t="s">
        <v>19</v>
      </c>
      <c r="B9" s="5">
        <v>649397809</v>
      </c>
      <c r="C9" s="5">
        <v>649991880</v>
      </c>
      <c r="D9" s="5">
        <v>828140408</v>
      </c>
      <c r="E9" s="5">
        <v>875009983</v>
      </c>
      <c r="F9" s="5">
        <v>688805684</v>
      </c>
      <c r="G9" s="5">
        <v>735734030</v>
      </c>
      <c r="H9" s="5">
        <v>735084041</v>
      </c>
      <c r="I9" s="5">
        <v>775218047</v>
      </c>
      <c r="J9" s="5">
        <v>753836915</v>
      </c>
      <c r="K9" s="5">
        <v>757266172</v>
      </c>
      <c r="L9" s="5">
        <v>687729710</v>
      </c>
      <c r="M9" s="5">
        <v>803700844</v>
      </c>
      <c r="N9" s="5">
        <v>8939915523</v>
      </c>
    </row>
    <row r="10" spans="1:14" ht="15" x14ac:dyDescent="0.2">
      <c r="A10" s="4" t="s">
        <v>20</v>
      </c>
      <c r="B10" s="5">
        <v>19513641</v>
      </c>
      <c r="C10" s="5">
        <v>18190013</v>
      </c>
      <c r="D10" s="5">
        <v>17915961</v>
      </c>
      <c r="E10" s="5">
        <v>17006814</v>
      </c>
      <c r="F10" s="5">
        <v>25589810</v>
      </c>
      <c r="G10" s="5">
        <v>16730592</v>
      </c>
      <c r="H10" s="5">
        <v>16671057</v>
      </c>
      <c r="I10" s="5">
        <v>23240754</v>
      </c>
      <c r="J10" s="5">
        <v>22250405</v>
      </c>
      <c r="K10" s="5">
        <v>20187382</v>
      </c>
      <c r="L10" s="5">
        <v>16709098</v>
      </c>
      <c r="M10" s="5">
        <v>24445907</v>
      </c>
      <c r="N10" s="5">
        <v>238451434</v>
      </c>
    </row>
    <row r="11" spans="1:14" ht="15" x14ac:dyDescent="0.2">
      <c r="A11" s="4" t="s">
        <v>21</v>
      </c>
      <c r="B11" s="5">
        <v>172365745</v>
      </c>
      <c r="C11" s="5">
        <v>161658316</v>
      </c>
      <c r="D11" s="5">
        <v>174802210</v>
      </c>
      <c r="E11" s="5">
        <v>195682530</v>
      </c>
      <c r="F11" s="5">
        <v>162423701</v>
      </c>
      <c r="G11" s="5">
        <v>200192498</v>
      </c>
      <c r="H11" s="5">
        <v>187493719</v>
      </c>
      <c r="I11" s="5">
        <v>180191814</v>
      </c>
      <c r="J11" s="5">
        <v>180087391</v>
      </c>
      <c r="K11" s="5">
        <v>199606194</v>
      </c>
      <c r="L11" s="5">
        <v>198093462</v>
      </c>
      <c r="M11" s="5">
        <v>196900275</v>
      </c>
      <c r="N11" s="5">
        <v>2209497855</v>
      </c>
    </row>
    <row r="12" spans="1:14" ht="15" x14ac:dyDescent="0.2">
      <c r="A12" s="4" t="s">
        <v>22</v>
      </c>
      <c r="B12" s="5">
        <v>13309912</v>
      </c>
      <c r="C12" s="5">
        <v>19170308</v>
      </c>
      <c r="D12" s="5">
        <v>16124368</v>
      </c>
      <c r="E12" s="5">
        <v>14912759</v>
      </c>
      <c r="F12" s="5">
        <v>17913195</v>
      </c>
      <c r="G12" s="5">
        <v>16134737</v>
      </c>
      <c r="H12" s="5">
        <v>12740769</v>
      </c>
      <c r="I12" s="5">
        <v>20526344</v>
      </c>
      <c r="J12" s="5">
        <v>16738898</v>
      </c>
      <c r="K12" s="5">
        <v>13128404</v>
      </c>
      <c r="L12" s="5">
        <v>14677818</v>
      </c>
      <c r="M12" s="5">
        <v>17818396</v>
      </c>
      <c r="N12" s="5">
        <v>193195908</v>
      </c>
    </row>
    <row r="13" spans="1:14" ht="15" x14ac:dyDescent="0.2">
      <c r="A13" s="4" t="s">
        <v>23</v>
      </c>
      <c r="B13" s="5">
        <v>46312195</v>
      </c>
      <c r="C13" s="5">
        <v>50812768</v>
      </c>
      <c r="D13" s="5">
        <v>53928206</v>
      </c>
      <c r="E13" s="5">
        <v>49777037</v>
      </c>
      <c r="F13" s="5">
        <v>60034808</v>
      </c>
      <c r="G13" s="5">
        <v>53734732</v>
      </c>
      <c r="H13" s="5">
        <v>49873598</v>
      </c>
      <c r="I13" s="5">
        <v>54606006</v>
      </c>
      <c r="J13" s="5">
        <v>55472736</v>
      </c>
      <c r="K13" s="5">
        <v>49904054</v>
      </c>
      <c r="L13" s="5">
        <v>55381230</v>
      </c>
      <c r="M13" s="5">
        <v>61952371</v>
      </c>
      <c r="N13" s="5">
        <v>641789741</v>
      </c>
    </row>
    <row r="14" spans="1:14" ht="15" x14ac:dyDescent="0.2">
      <c r="A14" s="4" t="s">
        <v>24</v>
      </c>
      <c r="B14" s="5">
        <v>170884748</v>
      </c>
      <c r="C14" s="5">
        <v>189622143</v>
      </c>
      <c r="D14" s="5">
        <v>175600732</v>
      </c>
      <c r="E14" s="5">
        <v>160829319</v>
      </c>
      <c r="F14" s="5">
        <v>214514410</v>
      </c>
      <c r="G14" s="5">
        <v>173439431</v>
      </c>
      <c r="H14" s="5">
        <v>161737203</v>
      </c>
      <c r="I14" s="5">
        <v>203709329</v>
      </c>
      <c r="J14" s="5">
        <v>185531226</v>
      </c>
      <c r="K14" s="5">
        <v>183017835</v>
      </c>
      <c r="L14" s="5">
        <v>218760500</v>
      </c>
      <c r="M14" s="5">
        <v>204987938</v>
      </c>
      <c r="N14" s="5">
        <v>2242634814</v>
      </c>
    </row>
    <row r="15" spans="1:14" ht="15" x14ac:dyDescent="0.2">
      <c r="A15" s="4" t="s">
        <v>25</v>
      </c>
      <c r="B15" s="5">
        <v>175930841</v>
      </c>
      <c r="C15" s="5">
        <v>180936843</v>
      </c>
      <c r="D15" s="5">
        <v>195220894</v>
      </c>
      <c r="E15" s="5">
        <v>172551605</v>
      </c>
      <c r="F15" s="5">
        <v>193308790</v>
      </c>
      <c r="G15" s="5">
        <v>193960905</v>
      </c>
      <c r="H15" s="5">
        <v>188995943</v>
      </c>
      <c r="I15" s="5">
        <v>210257787</v>
      </c>
      <c r="J15" s="5">
        <v>207510482</v>
      </c>
      <c r="K15" s="5">
        <v>197105564</v>
      </c>
      <c r="L15" s="5">
        <v>205363751</v>
      </c>
      <c r="M15" s="5">
        <v>212117593</v>
      </c>
      <c r="N15" s="5">
        <v>2333260998</v>
      </c>
    </row>
    <row r="16" spans="1:14" ht="15" x14ac:dyDescent="0.2">
      <c r="A16" s="4" t="s">
        <v>26</v>
      </c>
      <c r="B16" s="5">
        <v>12657672</v>
      </c>
      <c r="C16" s="5">
        <v>12818202</v>
      </c>
      <c r="D16" s="5">
        <v>12434617</v>
      </c>
      <c r="E16" s="5">
        <v>11238669</v>
      </c>
      <c r="F16" s="5">
        <v>11261465</v>
      </c>
      <c r="G16" s="5">
        <v>11222728</v>
      </c>
      <c r="H16" s="5">
        <v>10954320</v>
      </c>
      <c r="I16" s="5">
        <v>13299737</v>
      </c>
      <c r="J16" s="5">
        <v>12059224</v>
      </c>
      <c r="K16" s="5">
        <v>12170865</v>
      </c>
      <c r="L16" s="5">
        <v>12858719</v>
      </c>
      <c r="M16" s="5">
        <v>13217976</v>
      </c>
      <c r="N16" s="5">
        <v>146194194</v>
      </c>
    </row>
    <row r="17" spans="1:14" ht="15" x14ac:dyDescent="0.2">
      <c r="A17" s="4" t="s">
        <v>27</v>
      </c>
      <c r="B17" s="5">
        <v>2100205</v>
      </c>
      <c r="C17" s="5">
        <v>2651822</v>
      </c>
      <c r="D17" s="5">
        <v>1994736</v>
      </c>
      <c r="E17" s="5">
        <v>2041719</v>
      </c>
      <c r="F17" s="5">
        <v>3288610</v>
      </c>
      <c r="G17" s="5">
        <v>3216198</v>
      </c>
      <c r="H17" s="5">
        <v>1782179</v>
      </c>
      <c r="I17" s="5">
        <v>2683162</v>
      </c>
      <c r="J17" s="5">
        <v>2104275</v>
      </c>
      <c r="K17" s="5">
        <v>2128331</v>
      </c>
      <c r="L17" s="5">
        <v>4056978</v>
      </c>
      <c r="M17" s="5">
        <v>2764260</v>
      </c>
      <c r="N17" s="5">
        <v>30812475</v>
      </c>
    </row>
    <row r="18" spans="1:14" ht="15" x14ac:dyDescent="0.2">
      <c r="A18" s="4" t="s">
        <v>28</v>
      </c>
      <c r="B18" s="5">
        <v>1778601373</v>
      </c>
      <c r="C18" s="5">
        <v>1863510136</v>
      </c>
      <c r="D18" s="5">
        <v>2078480167</v>
      </c>
      <c r="E18" s="5">
        <v>2002000244</v>
      </c>
      <c r="F18" s="5">
        <v>2003897390</v>
      </c>
      <c r="G18" s="5">
        <v>2000427334</v>
      </c>
      <c r="H18" s="5">
        <v>1859254107</v>
      </c>
      <c r="I18" s="5">
        <v>2097908548</v>
      </c>
      <c r="J18" s="5">
        <v>2102473836</v>
      </c>
      <c r="K18" s="5">
        <v>1986567048</v>
      </c>
      <c r="L18" s="5">
        <v>2064441973</v>
      </c>
      <c r="M18" s="5">
        <v>2294375651</v>
      </c>
      <c r="N18" s="5">
        <v>24131937807</v>
      </c>
    </row>
    <row r="19" spans="1:14" ht="15" x14ac:dyDescent="0.2">
      <c r="A19" s="14" t="s">
        <v>52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ht="15" x14ac:dyDescent="0.2">
      <c r="A20" s="11" t="s">
        <v>50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</sheetData>
  <mergeCells count="3">
    <mergeCell ref="A1:N1"/>
    <mergeCell ref="A19:N19"/>
    <mergeCell ref="A20:N20"/>
  </mergeCells>
  <hyperlinks>
    <hyperlink ref="A19:N19" location="'Table of Contents'!A11" display="Back to Table of Contents" xr:uid="{387DA720-B4D7-4012-8F56-3B9D71AAF939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24038-8F27-44C3-BD0E-D547BBE70A21}">
  <sheetPr codeName="Sheet11"/>
  <dimension ref="A1:N20"/>
  <sheetViews>
    <sheetView workbookViewId="0">
      <selection sqref="A1:N1"/>
    </sheetView>
  </sheetViews>
  <sheetFormatPr defaultColWidth="0" defaultRowHeight="0" customHeight="1" zeroHeight="1" x14ac:dyDescent="0.2"/>
  <cols>
    <col min="1" max="1" width="27.7109375" style="2" customWidth="1"/>
    <col min="2" max="2" width="16.140625" style="2" customWidth="1"/>
    <col min="3" max="3" width="15.5703125" style="2" customWidth="1"/>
    <col min="4" max="5" width="16" style="2" bestFit="1" customWidth="1"/>
    <col min="6" max="6" width="15.5703125" style="2" customWidth="1"/>
    <col min="7" max="13" width="16" style="2" bestFit="1" customWidth="1"/>
    <col min="14" max="14" width="17.28515625" style="2" bestFit="1" customWidth="1"/>
    <col min="15" max="16384" width="8.85546875" style="2" hidden="1"/>
  </cols>
  <sheetData>
    <row r="1" spans="1:14" s="10" customFormat="1" ht="18" x14ac:dyDescent="0.25">
      <c r="A1" s="13" t="s">
        <v>63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5.75" x14ac:dyDescent="0.25">
      <c r="A2" s="1" t="s">
        <v>53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</row>
    <row r="3" spans="1:14" ht="15" x14ac:dyDescent="0.2">
      <c r="A3" s="4" t="s">
        <v>13</v>
      </c>
      <c r="B3" s="5">
        <v>1068089</v>
      </c>
      <c r="C3" s="5">
        <v>933726</v>
      </c>
      <c r="D3" s="5">
        <v>754823</v>
      </c>
      <c r="E3" s="5">
        <v>902965</v>
      </c>
      <c r="F3" s="5">
        <v>1248001</v>
      </c>
      <c r="G3" s="5">
        <v>777494</v>
      </c>
      <c r="H3" s="5">
        <v>738551</v>
      </c>
      <c r="I3" s="5">
        <v>1351444</v>
      </c>
      <c r="J3" s="5">
        <v>1318858</v>
      </c>
      <c r="K3" s="5">
        <v>1216355</v>
      </c>
      <c r="L3" s="5">
        <v>1299027</v>
      </c>
      <c r="M3" s="5">
        <v>860229</v>
      </c>
      <c r="N3" s="5">
        <v>12469562</v>
      </c>
    </row>
    <row r="4" spans="1:14" ht="15" x14ac:dyDescent="0.2">
      <c r="A4" s="4" t="s">
        <v>14</v>
      </c>
      <c r="B4" s="5">
        <v>150445169</v>
      </c>
      <c r="C4" s="5">
        <v>147084292</v>
      </c>
      <c r="D4" s="5">
        <v>140022495</v>
      </c>
      <c r="E4" s="5">
        <v>138850764</v>
      </c>
      <c r="F4" s="5">
        <v>144036827</v>
      </c>
      <c r="G4" s="5">
        <v>130235987</v>
      </c>
      <c r="H4" s="5">
        <v>126977870</v>
      </c>
      <c r="I4" s="5">
        <v>131229731</v>
      </c>
      <c r="J4" s="5">
        <v>146956944</v>
      </c>
      <c r="K4" s="5">
        <v>153839290</v>
      </c>
      <c r="L4" s="5">
        <v>139649391</v>
      </c>
      <c r="M4" s="5">
        <v>148460262</v>
      </c>
      <c r="N4" s="5">
        <v>1697789022</v>
      </c>
    </row>
    <row r="5" spans="1:14" ht="15" x14ac:dyDescent="0.2">
      <c r="A5" s="4" t="s">
        <v>15</v>
      </c>
      <c r="B5" s="5">
        <v>45009084</v>
      </c>
      <c r="C5" s="5">
        <v>40712827</v>
      </c>
      <c r="D5" s="5">
        <v>84957921</v>
      </c>
      <c r="E5" s="5">
        <v>54848302</v>
      </c>
      <c r="F5" s="5">
        <v>28602612</v>
      </c>
      <c r="G5" s="5">
        <v>51407917</v>
      </c>
      <c r="H5" s="5">
        <v>44175435</v>
      </c>
      <c r="I5" s="5">
        <v>39223926</v>
      </c>
      <c r="J5" s="5">
        <v>54484981</v>
      </c>
      <c r="K5" s="5">
        <v>55132645</v>
      </c>
      <c r="L5" s="5">
        <v>48560518</v>
      </c>
      <c r="M5" s="5">
        <v>96422693</v>
      </c>
      <c r="N5" s="5">
        <v>643538861</v>
      </c>
    </row>
    <row r="6" spans="1:14" ht="15" x14ac:dyDescent="0.2">
      <c r="A6" s="4" t="s">
        <v>16</v>
      </c>
      <c r="B6" s="5">
        <v>88319045</v>
      </c>
      <c r="C6" s="5">
        <v>92440129</v>
      </c>
      <c r="D6" s="5">
        <v>87159461</v>
      </c>
      <c r="E6" s="5">
        <v>78416557</v>
      </c>
      <c r="F6" s="5">
        <v>91734626</v>
      </c>
      <c r="G6" s="5">
        <v>83870389</v>
      </c>
      <c r="H6" s="5">
        <v>73036991</v>
      </c>
      <c r="I6" s="5">
        <v>93210900</v>
      </c>
      <c r="J6" s="5">
        <v>92921916</v>
      </c>
      <c r="K6" s="5">
        <v>83727221</v>
      </c>
      <c r="L6" s="5">
        <v>93690244</v>
      </c>
      <c r="M6" s="5">
        <v>93291583</v>
      </c>
      <c r="N6" s="5">
        <v>1051819062</v>
      </c>
    </row>
    <row r="7" spans="1:14" ht="15" x14ac:dyDescent="0.2">
      <c r="A7" s="4" t="s">
        <v>17</v>
      </c>
      <c r="B7" s="5">
        <v>165855285</v>
      </c>
      <c r="C7" s="5">
        <v>182517261</v>
      </c>
      <c r="D7" s="5">
        <v>219604824</v>
      </c>
      <c r="E7" s="5">
        <v>158330498</v>
      </c>
      <c r="F7" s="5">
        <v>186578619</v>
      </c>
      <c r="G7" s="5">
        <v>181752745</v>
      </c>
      <c r="H7" s="5">
        <v>172393550</v>
      </c>
      <c r="I7" s="5">
        <v>182620173</v>
      </c>
      <c r="J7" s="5">
        <v>210970388</v>
      </c>
      <c r="K7" s="5">
        <v>191053900</v>
      </c>
      <c r="L7" s="5">
        <v>174950129</v>
      </c>
      <c r="M7" s="5">
        <v>213082395</v>
      </c>
      <c r="N7" s="5">
        <v>2239709767</v>
      </c>
    </row>
    <row r="8" spans="1:14" ht="15" x14ac:dyDescent="0.2">
      <c r="A8" s="4" t="s">
        <v>18</v>
      </c>
      <c r="B8" s="5">
        <v>172707783</v>
      </c>
      <c r="C8" s="5">
        <v>161979157</v>
      </c>
      <c r="D8" s="5">
        <v>181969449</v>
      </c>
      <c r="E8" s="5">
        <v>166368100</v>
      </c>
      <c r="F8" s="5">
        <v>159720494</v>
      </c>
      <c r="G8" s="5">
        <v>159748423</v>
      </c>
      <c r="H8" s="5">
        <v>158228001</v>
      </c>
      <c r="I8" s="5">
        <v>173606099</v>
      </c>
      <c r="J8" s="5">
        <v>186943327</v>
      </c>
      <c r="K8" s="5">
        <v>180355732</v>
      </c>
      <c r="L8" s="5">
        <v>188562804</v>
      </c>
      <c r="M8" s="5">
        <v>197554581</v>
      </c>
      <c r="N8" s="5">
        <v>2087743950</v>
      </c>
    </row>
    <row r="9" spans="1:14" ht="15" x14ac:dyDescent="0.2">
      <c r="A9" s="4" t="s">
        <v>19</v>
      </c>
      <c r="B9" s="5">
        <v>702674628</v>
      </c>
      <c r="C9" s="5">
        <v>705285054</v>
      </c>
      <c r="D9" s="5">
        <v>908695848</v>
      </c>
      <c r="E9" s="5">
        <v>887901117</v>
      </c>
      <c r="F9" s="5">
        <v>774859916</v>
      </c>
      <c r="G9" s="5">
        <v>705462260</v>
      </c>
      <c r="H9" s="5">
        <v>832527408</v>
      </c>
      <c r="I9" s="5">
        <v>801548257</v>
      </c>
      <c r="J9" s="5">
        <v>792692072</v>
      </c>
      <c r="K9" s="5">
        <v>818127977</v>
      </c>
      <c r="L9" s="5">
        <v>772496115</v>
      </c>
      <c r="M9" s="5">
        <v>839711879</v>
      </c>
      <c r="N9" s="5">
        <v>9541982531</v>
      </c>
    </row>
    <row r="10" spans="1:14" ht="15" x14ac:dyDescent="0.2">
      <c r="A10" s="4" t="s">
        <v>20</v>
      </c>
      <c r="B10" s="5">
        <v>23826820</v>
      </c>
      <c r="C10" s="5">
        <v>15391315</v>
      </c>
      <c r="D10" s="5">
        <v>23872118</v>
      </c>
      <c r="E10" s="5">
        <v>15829984</v>
      </c>
      <c r="F10" s="5">
        <v>20275178</v>
      </c>
      <c r="G10" s="5">
        <v>15575950</v>
      </c>
      <c r="H10" s="5">
        <v>15526624</v>
      </c>
      <c r="I10" s="5">
        <v>17613667</v>
      </c>
      <c r="J10" s="5">
        <v>20025349</v>
      </c>
      <c r="K10" s="5">
        <v>28361925</v>
      </c>
      <c r="L10" s="5">
        <v>21103514</v>
      </c>
      <c r="M10" s="5">
        <v>19829119</v>
      </c>
      <c r="N10" s="5">
        <v>237231563</v>
      </c>
    </row>
    <row r="11" spans="1:14" ht="15" x14ac:dyDescent="0.2">
      <c r="A11" s="4" t="s">
        <v>21</v>
      </c>
      <c r="B11" s="5">
        <v>174084012</v>
      </c>
      <c r="C11" s="5">
        <v>185320975</v>
      </c>
      <c r="D11" s="5">
        <v>239484118</v>
      </c>
      <c r="E11" s="5">
        <v>193882328</v>
      </c>
      <c r="F11" s="5">
        <v>205987068</v>
      </c>
      <c r="G11" s="5">
        <v>193942841</v>
      </c>
      <c r="H11" s="5">
        <v>194766167</v>
      </c>
      <c r="I11" s="5">
        <v>193787627</v>
      </c>
      <c r="J11" s="5">
        <v>208350263</v>
      </c>
      <c r="K11" s="5">
        <v>196296970</v>
      </c>
      <c r="L11" s="5">
        <v>226148229</v>
      </c>
      <c r="M11" s="5">
        <v>219242252</v>
      </c>
      <c r="N11" s="5">
        <v>2431292850</v>
      </c>
    </row>
    <row r="12" spans="1:14" ht="15" x14ac:dyDescent="0.2">
      <c r="A12" s="4" t="s">
        <v>22</v>
      </c>
      <c r="B12" s="5">
        <v>13396769</v>
      </c>
      <c r="C12" s="5">
        <v>15824667</v>
      </c>
      <c r="D12" s="5">
        <v>14381010</v>
      </c>
      <c r="E12" s="5">
        <v>15297955</v>
      </c>
      <c r="F12" s="5">
        <v>20664285</v>
      </c>
      <c r="G12" s="5">
        <v>15151194</v>
      </c>
      <c r="H12" s="5">
        <v>14275876</v>
      </c>
      <c r="I12" s="5">
        <v>17879552</v>
      </c>
      <c r="J12" s="5">
        <v>14526343</v>
      </c>
      <c r="K12" s="5">
        <v>12801202</v>
      </c>
      <c r="L12" s="5">
        <v>13751138</v>
      </c>
      <c r="M12" s="5">
        <v>13363229</v>
      </c>
      <c r="N12" s="5">
        <v>181313220</v>
      </c>
    </row>
    <row r="13" spans="1:14" ht="15" x14ac:dyDescent="0.2">
      <c r="A13" s="4" t="s">
        <v>23</v>
      </c>
      <c r="B13" s="5">
        <v>55245491</v>
      </c>
      <c r="C13" s="5">
        <v>55856253</v>
      </c>
      <c r="D13" s="5">
        <v>64323677</v>
      </c>
      <c r="E13" s="5">
        <v>50155234</v>
      </c>
      <c r="F13" s="5">
        <v>62727995</v>
      </c>
      <c r="G13" s="5">
        <v>54860324</v>
      </c>
      <c r="H13" s="5">
        <v>59922971</v>
      </c>
      <c r="I13" s="5">
        <v>54365400</v>
      </c>
      <c r="J13" s="5">
        <v>63036465</v>
      </c>
      <c r="K13" s="5">
        <v>61773086</v>
      </c>
      <c r="L13" s="5">
        <v>64912867</v>
      </c>
      <c r="M13" s="5">
        <v>63047195</v>
      </c>
      <c r="N13" s="5">
        <v>710226958</v>
      </c>
    </row>
    <row r="14" spans="1:14" ht="15" x14ac:dyDescent="0.2">
      <c r="A14" s="4" t="s">
        <v>24</v>
      </c>
      <c r="B14" s="5">
        <v>182909452</v>
      </c>
      <c r="C14" s="5">
        <v>204101460</v>
      </c>
      <c r="D14" s="5">
        <v>191123320</v>
      </c>
      <c r="E14" s="5">
        <v>176376702</v>
      </c>
      <c r="F14" s="5">
        <v>227775177</v>
      </c>
      <c r="G14" s="5">
        <v>187128392</v>
      </c>
      <c r="H14" s="5">
        <v>175807478</v>
      </c>
      <c r="I14" s="5">
        <v>217540803</v>
      </c>
      <c r="J14" s="5">
        <v>201403630</v>
      </c>
      <c r="K14" s="5">
        <v>198938470</v>
      </c>
      <c r="L14" s="5">
        <v>223087913</v>
      </c>
      <c r="M14" s="5">
        <v>209622635</v>
      </c>
      <c r="N14" s="5">
        <v>2395815432</v>
      </c>
    </row>
    <row r="15" spans="1:14" ht="15" x14ac:dyDescent="0.2">
      <c r="A15" s="4" t="s">
        <v>25</v>
      </c>
      <c r="B15" s="5">
        <v>194216099</v>
      </c>
      <c r="C15" s="5">
        <v>197290865</v>
      </c>
      <c r="D15" s="5">
        <v>206680407</v>
      </c>
      <c r="E15" s="5">
        <v>187916467</v>
      </c>
      <c r="F15" s="5">
        <v>208461629</v>
      </c>
      <c r="G15" s="5">
        <v>205848017</v>
      </c>
      <c r="H15" s="5">
        <v>193785718</v>
      </c>
      <c r="I15" s="5">
        <v>223525721</v>
      </c>
      <c r="J15" s="5">
        <v>223844830</v>
      </c>
      <c r="K15" s="5">
        <v>210124274</v>
      </c>
      <c r="L15" s="5">
        <v>214564675</v>
      </c>
      <c r="M15" s="5">
        <v>225213861</v>
      </c>
      <c r="N15" s="5">
        <v>2491472563</v>
      </c>
    </row>
    <row r="16" spans="1:14" ht="15" x14ac:dyDescent="0.2">
      <c r="A16" s="4" t="s">
        <v>26</v>
      </c>
      <c r="B16" s="5">
        <v>13158934</v>
      </c>
      <c r="C16" s="5">
        <v>12492928</v>
      </c>
      <c r="D16" s="5">
        <v>12364055</v>
      </c>
      <c r="E16" s="5">
        <v>11464904</v>
      </c>
      <c r="F16" s="5">
        <v>11679634</v>
      </c>
      <c r="G16" s="5">
        <v>12355858</v>
      </c>
      <c r="H16" s="5">
        <v>11122221</v>
      </c>
      <c r="I16" s="5">
        <v>10596936</v>
      </c>
      <c r="J16" s="5">
        <v>12008852</v>
      </c>
      <c r="K16" s="5">
        <v>12232673</v>
      </c>
      <c r="L16" s="5">
        <v>13160341</v>
      </c>
      <c r="M16" s="5">
        <v>13843433</v>
      </c>
      <c r="N16" s="5">
        <v>146480769</v>
      </c>
    </row>
    <row r="17" spans="1:14" ht="15" x14ac:dyDescent="0.2">
      <c r="A17" s="4" t="s">
        <v>27</v>
      </c>
      <c r="B17" s="5">
        <v>1772505</v>
      </c>
      <c r="C17" s="5">
        <v>2632651</v>
      </c>
      <c r="D17" s="5">
        <v>619601</v>
      </c>
      <c r="E17" s="5">
        <v>1774065</v>
      </c>
      <c r="F17" s="5">
        <v>3021639</v>
      </c>
      <c r="G17" s="5">
        <v>1742754</v>
      </c>
      <c r="H17" s="5">
        <v>2081776</v>
      </c>
      <c r="I17" s="5">
        <v>3212286</v>
      </c>
      <c r="J17" s="5">
        <v>1893930</v>
      </c>
      <c r="K17" s="5">
        <v>2126611</v>
      </c>
      <c r="L17" s="5">
        <v>2801086</v>
      </c>
      <c r="M17" s="5">
        <v>2019698</v>
      </c>
      <c r="N17" s="5">
        <v>25698602</v>
      </c>
    </row>
    <row r="18" spans="1:14" ht="15" x14ac:dyDescent="0.2">
      <c r="A18" s="4" t="s">
        <v>28</v>
      </c>
      <c r="B18" s="5">
        <v>1984689165</v>
      </c>
      <c r="C18" s="5">
        <v>2019863560</v>
      </c>
      <c r="D18" s="5">
        <v>2376013127</v>
      </c>
      <c r="E18" s="5">
        <v>2138315942</v>
      </c>
      <c r="F18" s="5">
        <v>2147373700</v>
      </c>
      <c r="G18" s="5">
        <v>1999860545</v>
      </c>
      <c r="H18" s="5">
        <v>2075366637</v>
      </c>
      <c r="I18" s="5">
        <v>2161312522</v>
      </c>
      <c r="J18" s="5">
        <v>2231378148</v>
      </c>
      <c r="K18" s="5">
        <v>2206108331</v>
      </c>
      <c r="L18" s="5">
        <v>2198737991</v>
      </c>
      <c r="M18" s="5">
        <v>2355565044</v>
      </c>
      <c r="N18" s="5">
        <v>25894584712</v>
      </c>
    </row>
    <row r="19" spans="1:14" ht="15" x14ac:dyDescent="0.2">
      <c r="A19" s="14" t="s">
        <v>52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ht="15" x14ac:dyDescent="0.2">
      <c r="A20" s="11" t="s">
        <v>50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</sheetData>
  <mergeCells count="3">
    <mergeCell ref="A1:N1"/>
    <mergeCell ref="A19:N19"/>
    <mergeCell ref="A20:N20"/>
  </mergeCells>
  <hyperlinks>
    <hyperlink ref="A19:N19" location="'Table of Contents'!A12" display="Back to Table of Contents" xr:uid="{5B437E8E-4ADE-4519-AFA7-1FC6FD184BBE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92075-B42C-4645-A7C0-E653F846B684}">
  <sheetPr codeName="Sheet12"/>
  <dimension ref="A1:N20"/>
  <sheetViews>
    <sheetView workbookViewId="0">
      <selection sqref="A1:N1"/>
    </sheetView>
  </sheetViews>
  <sheetFormatPr defaultColWidth="0" defaultRowHeight="0" customHeight="1" zeroHeight="1" x14ac:dyDescent="0.2"/>
  <cols>
    <col min="1" max="1" width="27.7109375" style="2" customWidth="1"/>
    <col min="2" max="2" width="16.140625" style="2" customWidth="1"/>
    <col min="3" max="3" width="15.5703125" style="2" customWidth="1"/>
    <col min="4" max="5" width="16" style="2" bestFit="1" customWidth="1"/>
    <col min="6" max="6" width="15.5703125" style="2" customWidth="1"/>
    <col min="7" max="13" width="16" style="2" bestFit="1" customWidth="1"/>
    <col min="14" max="14" width="17.28515625" style="2" bestFit="1" customWidth="1"/>
    <col min="15" max="16384" width="8.85546875" style="2" hidden="1"/>
  </cols>
  <sheetData>
    <row r="1" spans="1:14" s="10" customFormat="1" ht="18" x14ac:dyDescent="0.25">
      <c r="A1" s="13" t="s">
        <v>62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5.75" x14ac:dyDescent="0.25">
      <c r="A2" s="1" t="s">
        <v>53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</row>
    <row r="3" spans="1:14" ht="15" x14ac:dyDescent="0.2">
      <c r="A3" s="4" t="s">
        <v>13</v>
      </c>
      <c r="B3" s="5">
        <v>843565</v>
      </c>
      <c r="C3" s="5">
        <v>1045495</v>
      </c>
      <c r="D3" s="5">
        <v>920229</v>
      </c>
      <c r="E3" s="5">
        <v>882878</v>
      </c>
      <c r="F3" s="5">
        <v>1436096</v>
      </c>
      <c r="G3" s="5">
        <v>679699</v>
      </c>
      <c r="H3" s="5">
        <v>722428</v>
      </c>
      <c r="I3" s="5">
        <v>1482274</v>
      </c>
      <c r="J3" s="5">
        <v>1336232</v>
      </c>
      <c r="K3" s="5">
        <v>1382785</v>
      </c>
      <c r="L3" s="5">
        <v>1721775</v>
      </c>
      <c r="M3" s="5">
        <v>945548</v>
      </c>
      <c r="N3" s="5">
        <v>13399004</v>
      </c>
    </row>
    <row r="4" spans="1:14" ht="15" x14ac:dyDescent="0.2">
      <c r="A4" s="4" t="s">
        <v>14</v>
      </c>
      <c r="B4" s="5">
        <v>120871602</v>
      </c>
      <c r="C4" s="5">
        <v>133220614</v>
      </c>
      <c r="D4" s="5">
        <v>143412976</v>
      </c>
      <c r="E4" s="5">
        <v>105124553</v>
      </c>
      <c r="F4" s="5">
        <v>175058264</v>
      </c>
      <c r="G4" s="5">
        <v>139628656</v>
      </c>
      <c r="H4" s="5">
        <v>144076565</v>
      </c>
      <c r="I4" s="5">
        <v>112077952</v>
      </c>
      <c r="J4" s="5">
        <v>159635549</v>
      </c>
      <c r="K4" s="5">
        <v>153653790</v>
      </c>
      <c r="L4" s="5">
        <v>155763888</v>
      </c>
      <c r="M4" s="5">
        <v>175597294</v>
      </c>
      <c r="N4" s="5">
        <v>1718121703</v>
      </c>
    </row>
    <row r="5" spans="1:14" ht="15" x14ac:dyDescent="0.2">
      <c r="A5" s="4" t="s">
        <v>15</v>
      </c>
      <c r="B5" s="5">
        <v>41183993</v>
      </c>
      <c r="C5" s="5">
        <v>32806403</v>
      </c>
      <c r="D5" s="5">
        <v>71928721</v>
      </c>
      <c r="E5" s="5">
        <v>36414834</v>
      </c>
      <c r="F5" s="5">
        <v>46440028</v>
      </c>
      <c r="G5" s="5">
        <v>71194609</v>
      </c>
      <c r="H5" s="5">
        <v>33301785</v>
      </c>
      <c r="I5" s="5">
        <v>53566444</v>
      </c>
      <c r="J5" s="5">
        <v>72801647</v>
      </c>
      <c r="K5" s="5">
        <v>40887307</v>
      </c>
      <c r="L5" s="5">
        <v>50802979</v>
      </c>
      <c r="M5" s="5">
        <v>72479919</v>
      </c>
      <c r="N5" s="5">
        <v>623808669</v>
      </c>
    </row>
    <row r="6" spans="1:14" ht="15" x14ac:dyDescent="0.2">
      <c r="A6" s="4" t="s">
        <v>16</v>
      </c>
      <c r="B6" s="5">
        <v>89214838</v>
      </c>
      <c r="C6" s="5">
        <v>97079217</v>
      </c>
      <c r="D6" s="5">
        <v>91506851</v>
      </c>
      <c r="E6" s="5">
        <v>74493096</v>
      </c>
      <c r="F6" s="5">
        <v>110020127</v>
      </c>
      <c r="G6" s="5">
        <v>87991048</v>
      </c>
      <c r="H6" s="5">
        <v>80014617</v>
      </c>
      <c r="I6" s="5">
        <v>96402571</v>
      </c>
      <c r="J6" s="5">
        <v>95007818</v>
      </c>
      <c r="K6" s="5">
        <v>92816992</v>
      </c>
      <c r="L6" s="5">
        <v>111968159</v>
      </c>
      <c r="M6" s="5">
        <v>101211371</v>
      </c>
      <c r="N6" s="5">
        <v>1127726705</v>
      </c>
    </row>
    <row r="7" spans="1:14" ht="15" x14ac:dyDescent="0.2">
      <c r="A7" s="4" t="s">
        <v>17</v>
      </c>
      <c r="B7" s="5">
        <v>151864016</v>
      </c>
      <c r="C7" s="5">
        <v>175421950</v>
      </c>
      <c r="D7" s="5">
        <v>222505538</v>
      </c>
      <c r="E7" s="5">
        <v>162938660</v>
      </c>
      <c r="F7" s="5">
        <v>210915180</v>
      </c>
      <c r="G7" s="5">
        <v>201552334</v>
      </c>
      <c r="H7" s="5">
        <v>134114313</v>
      </c>
      <c r="I7" s="5">
        <v>198293301</v>
      </c>
      <c r="J7" s="5">
        <v>237812516</v>
      </c>
      <c r="K7" s="5">
        <v>178555193</v>
      </c>
      <c r="L7" s="5">
        <v>189765161</v>
      </c>
      <c r="M7" s="5">
        <v>225647812</v>
      </c>
      <c r="N7" s="5">
        <v>2289385974</v>
      </c>
    </row>
    <row r="8" spans="1:14" ht="15" x14ac:dyDescent="0.2">
      <c r="A8" s="4" t="s">
        <v>18</v>
      </c>
      <c r="B8" s="5">
        <v>177631225</v>
      </c>
      <c r="C8" s="5">
        <v>184904120</v>
      </c>
      <c r="D8" s="5">
        <v>193430374</v>
      </c>
      <c r="E8" s="5">
        <v>161294165</v>
      </c>
      <c r="F8" s="5">
        <v>192166606</v>
      </c>
      <c r="G8" s="5">
        <v>184746484</v>
      </c>
      <c r="H8" s="5">
        <v>185224139</v>
      </c>
      <c r="I8" s="5">
        <v>190512084</v>
      </c>
      <c r="J8" s="5">
        <v>203849900</v>
      </c>
      <c r="K8" s="5">
        <v>197468412</v>
      </c>
      <c r="L8" s="5">
        <v>199213529</v>
      </c>
      <c r="M8" s="5">
        <v>216464489</v>
      </c>
      <c r="N8" s="5">
        <v>2286905527</v>
      </c>
    </row>
    <row r="9" spans="1:14" ht="15" x14ac:dyDescent="0.2">
      <c r="A9" s="4" t="s">
        <v>19</v>
      </c>
      <c r="B9" s="5">
        <v>760388457</v>
      </c>
      <c r="C9" s="5">
        <v>732647417</v>
      </c>
      <c r="D9" s="5">
        <v>931191833</v>
      </c>
      <c r="E9" s="5">
        <v>934335637</v>
      </c>
      <c r="F9" s="5">
        <v>865107964</v>
      </c>
      <c r="G9" s="5">
        <v>780329862</v>
      </c>
      <c r="H9" s="5">
        <v>789009848</v>
      </c>
      <c r="I9" s="5">
        <v>801305372</v>
      </c>
      <c r="J9" s="5">
        <v>891542579</v>
      </c>
      <c r="K9" s="5">
        <v>814309984</v>
      </c>
      <c r="L9" s="5">
        <v>812750198</v>
      </c>
      <c r="M9" s="5">
        <v>887845973</v>
      </c>
      <c r="N9" s="5">
        <v>10000765124</v>
      </c>
    </row>
    <row r="10" spans="1:14" ht="15" x14ac:dyDescent="0.2">
      <c r="A10" s="4" t="s">
        <v>20</v>
      </c>
      <c r="B10" s="5">
        <v>21455362</v>
      </c>
      <c r="C10" s="5">
        <v>44639417</v>
      </c>
      <c r="D10" s="5">
        <v>23878135</v>
      </c>
      <c r="E10" s="5">
        <v>18429839</v>
      </c>
      <c r="F10" s="5">
        <v>24426041</v>
      </c>
      <c r="G10" s="5">
        <v>17563852</v>
      </c>
      <c r="H10" s="5">
        <v>16730907</v>
      </c>
      <c r="I10" s="5">
        <v>21034440</v>
      </c>
      <c r="J10" s="5">
        <v>19367831</v>
      </c>
      <c r="K10" s="5">
        <v>18912449</v>
      </c>
      <c r="L10" s="5">
        <v>24273895</v>
      </c>
      <c r="M10" s="5">
        <v>21782631</v>
      </c>
      <c r="N10" s="5">
        <v>272494799</v>
      </c>
    </row>
    <row r="11" spans="1:14" ht="15" x14ac:dyDescent="0.2">
      <c r="A11" s="4" t="s">
        <v>21</v>
      </c>
      <c r="B11" s="5">
        <v>191515178</v>
      </c>
      <c r="C11" s="5">
        <v>204933979</v>
      </c>
      <c r="D11" s="5">
        <v>208097113</v>
      </c>
      <c r="E11" s="5">
        <v>202393526</v>
      </c>
      <c r="F11" s="5">
        <v>224639644</v>
      </c>
      <c r="G11" s="5">
        <v>207519191</v>
      </c>
      <c r="H11" s="5">
        <v>223550129</v>
      </c>
      <c r="I11" s="5">
        <v>219976569</v>
      </c>
      <c r="J11" s="5">
        <v>217772191</v>
      </c>
      <c r="K11" s="5">
        <v>207768865</v>
      </c>
      <c r="L11" s="5">
        <v>212327840</v>
      </c>
      <c r="M11" s="5">
        <v>212397008</v>
      </c>
      <c r="N11" s="5">
        <v>2532891233</v>
      </c>
    </row>
    <row r="12" spans="1:14" ht="15" x14ac:dyDescent="0.2">
      <c r="A12" s="4" t="s">
        <v>22</v>
      </c>
      <c r="B12" s="5">
        <v>8005738</v>
      </c>
      <c r="C12" s="5">
        <v>17038541</v>
      </c>
      <c r="D12" s="5">
        <v>14325533</v>
      </c>
      <c r="E12" s="5">
        <v>14034909</v>
      </c>
      <c r="F12" s="5">
        <v>22437533</v>
      </c>
      <c r="G12" s="5">
        <v>13165695</v>
      </c>
      <c r="H12" s="5">
        <v>15257642</v>
      </c>
      <c r="I12" s="5">
        <v>23854524</v>
      </c>
      <c r="J12" s="5">
        <v>15295368</v>
      </c>
      <c r="K12" s="5">
        <v>18432925</v>
      </c>
      <c r="L12" s="5">
        <v>15994118</v>
      </c>
      <c r="M12" s="5">
        <v>18965887</v>
      </c>
      <c r="N12" s="5">
        <v>196808413</v>
      </c>
    </row>
    <row r="13" spans="1:14" ht="15" x14ac:dyDescent="0.2">
      <c r="A13" s="4" t="s">
        <v>23</v>
      </c>
      <c r="B13" s="5">
        <v>60886003</v>
      </c>
      <c r="C13" s="5">
        <v>69398776</v>
      </c>
      <c r="D13" s="5">
        <v>67220994</v>
      </c>
      <c r="E13" s="5">
        <v>57788623</v>
      </c>
      <c r="F13" s="5">
        <v>66036416</v>
      </c>
      <c r="G13" s="5">
        <v>66671067</v>
      </c>
      <c r="H13" s="5">
        <v>64268205</v>
      </c>
      <c r="I13" s="5">
        <v>65023351</v>
      </c>
      <c r="J13" s="5">
        <v>71669006</v>
      </c>
      <c r="K13" s="5">
        <v>66795010</v>
      </c>
      <c r="L13" s="5">
        <v>67959941</v>
      </c>
      <c r="M13" s="5">
        <v>71574074</v>
      </c>
      <c r="N13" s="5">
        <v>795291466</v>
      </c>
    </row>
    <row r="14" spans="1:14" ht="15" x14ac:dyDescent="0.2">
      <c r="A14" s="4" t="s">
        <v>24</v>
      </c>
      <c r="B14" s="5">
        <v>198661925</v>
      </c>
      <c r="C14" s="5">
        <v>224607496</v>
      </c>
      <c r="D14" s="5">
        <v>205352252</v>
      </c>
      <c r="E14" s="5">
        <v>174811724</v>
      </c>
      <c r="F14" s="5">
        <v>257820639</v>
      </c>
      <c r="G14" s="5">
        <v>208493755</v>
      </c>
      <c r="H14" s="5">
        <v>188631331</v>
      </c>
      <c r="I14" s="5">
        <v>235261136</v>
      </c>
      <c r="J14" s="5">
        <v>222052939</v>
      </c>
      <c r="K14" s="5">
        <v>216776298</v>
      </c>
      <c r="L14" s="5">
        <v>252122506</v>
      </c>
      <c r="M14" s="5">
        <v>226486146</v>
      </c>
      <c r="N14" s="5">
        <v>2611078147</v>
      </c>
    </row>
    <row r="15" spans="1:14" ht="15" x14ac:dyDescent="0.2">
      <c r="A15" s="4" t="s">
        <v>25</v>
      </c>
      <c r="B15" s="5">
        <v>208027899</v>
      </c>
      <c r="C15" s="5">
        <v>206263705</v>
      </c>
      <c r="D15" s="5">
        <v>219671064</v>
      </c>
      <c r="E15" s="5">
        <v>186353268</v>
      </c>
      <c r="F15" s="5">
        <v>228028838</v>
      </c>
      <c r="G15" s="5">
        <v>218898977</v>
      </c>
      <c r="H15" s="5">
        <v>205127973</v>
      </c>
      <c r="I15" s="5">
        <v>235074507</v>
      </c>
      <c r="J15" s="5">
        <v>237300738</v>
      </c>
      <c r="K15" s="5">
        <v>229121211</v>
      </c>
      <c r="L15" s="5">
        <v>228859598</v>
      </c>
      <c r="M15" s="5">
        <v>242581768</v>
      </c>
      <c r="N15" s="5">
        <v>2645309546</v>
      </c>
    </row>
    <row r="16" spans="1:14" ht="15" x14ac:dyDescent="0.2">
      <c r="A16" s="4" t="s">
        <v>26</v>
      </c>
      <c r="B16" s="5">
        <v>13720988</v>
      </c>
      <c r="C16" s="5">
        <v>13562788</v>
      </c>
      <c r="D16" s="5">
        <v>12921048</v>
      </c>
      <c r="E16" s="5">
        <v>12056063</v>
      </c>
      <c r="F16" s="5">
        <v>13029129</v>
      </c>
      <c r="G16" s="5">
        <v>12933488</v>
      </c>
      <c r="H16" s="5">
        <v>11553778</v>
      </c>
      <c r="I16" s="5">
        <v>13073876</v>
      </c>
      <c r="J16" s="5">
        <v>12848304</v>
      </c>
      <c r="K16" s="5">
        <v>12629157</v>
      </c>
      <c r="L16" s="5">
        <v>13490238</v>
      </c>
      <c r="M16" s="5">
        <v>15023957</v>
      </c>
      <c r="N16" s="5">
        <v>156842814</v>
      </c>
    </row>
    <row r="17" spans="1:14" ht="15" x14ac:dyDescent="0.2">
      <c r="A17" s="4" t="s">
        <v>27</v>
      </c>
      <c r="B17" s="5">
        <v>1943340</v>
      </c>
      <c r="C17" s="5">
        <v>2506635</v>
      </c>
      <c r="D17" s="5">
        <v>1698304</v>
      </c>
      <c r="E17" s="5">
        <v>1459238</v>
      </c>
      <c r="F17" s="5">
        <v>3727510</v>
      </c>
      <c r="G17" s="5">
        <v>1359041</v>
      </c>
      <c r="H17" s="5">
        <v>1977466</v>
      </c>
      <c r="I17" s="5">
        <v>2382920</v>
      </c>
      <c r="J17" s="5">
        <v>1658437</v>
      </c>
      <c r="K17" s="5">
        <v>1979399</v>
      </c>
      <c r="L17" s="5">
        <v>2629150</v>
      </c>
      <c r="M17" s="5">
        <v>1773733</v>
      </c>
      <c r="N17" s="5">
        <v>25095173</v>
      </c>
    </row>
    <row r="18" spans="1:14" ht="15" x14ac:dyDescent="0.2">
      <c r="A18" s="4" t="s">
        <v>28</v>
      </c>
      <c r="B18" s="5">
        <v>2046214129</v>
      </c>
      <c r="C18" s="5">
        <v>2140076553</v>
      </c>
      <c r="D18" s="5">
        <v>2408060965</v>
      </c>
      <c r="E18" s="5">
        <v>2142811013</v>
      </c>
      <c r="F18" s="5">
        <v>2441290015</v>
      </c>
      <c r="G18" s="5">
        <v>2212727758</v>
      </c>
      <c r="H18" s="5">
        <v>2093561126</v>
      </c>
      <c r="I18" s="5">
        <v>2269321321</v>
      </c>
      <c r="J18" s="5">
        <v>2459951055</v>
      </c>
      <c r="K18" s="5">
        <v>2251489777</v>
      </c>
      <c r="L18" s="5">
        <v>2339642975</v>
      </c>
      <c r="M18" s="5">
        <v>2490777610</v>
      </c>
      <c r="N18" s="5">
        <v>27295924297</v>
      </c>
    </row>
    <row r="19" spans="1:14" ht="15" x14ac:dyDescent="0.2">
      <c r="A19" s="14" t="s">
        <v>52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ht="15" x14ac:dyDescent="0.2">
      <c r="A20" s="11" t="s">
        <v>50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</sheetData>
  <mergeCells count="3">
    <mergeCell ref="A1:N1"/>
    <mergeCell ref="A19:N19"/>
    <mergeCell ref="A20:N20"/>
  </mergeCells>
  <hyperlinks>
    <hyperlink ref="A19:N19" location="'Table of Contents'!A13" display="Back to Table of Contents" xr:uid="{20DDFE90-B961-4EBA-9403-98BDEE3F9EB4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B0D99-8C42-4F70-9D2E-C4429A436FF8}">
  <sheetPr codeName="Sheet13"/>
  <dimension ref="A1:N20"/>
  <sheetViews>
    <sheetView workbookViewId="0">
      <selection sqref="A1:N1"/>
    </sheetView>
  </sheetViews>
  <sheetFormatPr defaultColWidth="0" defaultRowHeight="0" customHeight="1" zeroHeight="1" x14ac:dyDescent="0.2"/>
  <cols>
    <col min="1" max="1" width="27.7109375" style="4" customWidth="1"/>
    <col min="2" max="2" width="16.140625" style="4" customWidth="1"/>
    <col min="3" max="3" width="15.5703125" style="4" customWidth="1"/>
    <col min="4" max="5" width="16" style="4" bestFit="1" customWidth="1"/>
    <col min="6" max="6" width="15.5703125" style="4" customWidth="1"/>
    <col min="7" max="13" width="16" style="4" bestFit="1" customWidth="1"/>
    <col min="14" max="14" width="17.28515625" style="4" bestFit="1" customWidth="1"/>
    <col min="15" max="16384" width="8.85546875" style="2" hidden="1"/>
  </cols>
  <sheetData>
    <row r="1" spans="1:14" s="10" customFormat="1" ht="18" x14ac:dyDescent="0.25">
      <c r="A1" s="13" t="s">
        <v>61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5.75" x14ac:dyDescent="0.25">
      <c r="A2" s="1" t="s">
        <v>53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</row>
    <row r="3" spans="1:14" ht="15" x14ac:dyDescent="0.2">
      <c r="A3" s="4" t="s">
        <v>13</v>
      </c>
      <c r="B3" s="5">
        <v>1017666</v>
      </c>
      <c r="C3" s="5">
        <v>1346233</v>
      </c>
      <c r="D3" s="5">
        <v>1400242</v>
      </c>
      <c r="E3" s="5">
        <v>1056712</v>
      </c>
      <c r="F3" s="5">
        <v>1387229</v>
      </c>
      <c r="G3" s="5">
        <v>786749</v>
      </c>
      <c r="H3" s="5">
        <v>965054</v>
      </c>
      <c r="I3" s="5">
        <v>1440795</v>
      </c>
      <c r="J3" s="5">
        <v>1452505</v>
      </c>
      <c r="K3" s="5">
        <v>1236610</v>
      </c>
      <c r="L3" s="5">
        <v>1544318</v>
      </c>
      <c r="M3" s="5">
        <v>1405639</v>
      </c>
      <c r="N3" s="5">
        <v>15039752</v>
      </c>
    </row>
    <row r="4" spans="1:14" ht="15" x14ac:dyDescent="0.2">
      <c r="A4" s="4" t="s">
        <v>14</v>
      </c>
      <c r="B4" s="5">
        <v>178420830</v>
      </c>
      <c r="C4" s="5">
        <v>165203739</v>
      </c>
      <c r="D4" s="5">
        <v>173575460</v>
      </c>
      <c r="E4" s="5">
        <v>148510839</v>
      </c>
      <c r="F4" s="5">
        <v>190608503</v>
      </c>
      <c r="G4" s="5">
        <v>162921709</v>
      </c>
      <c r="H4" s="5">
        <v>142784980</v>
      </c>
      <c r="I4" s="5">
        <v>93489955</v>
      </c>
      <c r="J4" s="5">
        <v>125208914</v>
      </c>
      <c r="K4" s="5">
        <v>93944688</v>
      </c>
      <c r="L4" s="5">
        <v>113154958</v>
      </c>
      <c r="M4" s="5">
        <v>112055613</v>
      </c>
      <c r="N4" s="5">
        <v>1699880188</v>
      </c>
    </row>
    <row r="5" spans="1:14" ht="15" x14ac:dyDescent="0.2">
      <c r="A5" s="4" t="s">
        <v>15</v>
      </c>
      <c r="B5" s="5">
        <v>45296776</v>
      </c>
      <c r="C5" s="5">
        <v>53067043</v>
      </c>
      <c r="D5" s="5">
        <v>76035655</v>
      </c>
      <c r="E5" s="5">
        <v>37545649</v>
      </c>
      <c r="F5" s="5">
        <v>62093929</v>
      </c>
      <c r="G5" s="5">
        <v>79744625</v>
      </c>
      <c r="H5" s="5">
        <v>41098253</v>
      </c>
      <c r="I5" s="5">
        <v>45754024</v>
      </c>
      <c r="J5" s="5">
        <v>70989291</v>
      </c>
      <c r="K5" s="5">
        <v>43365699</v>
      </c>
      <c r="L5" s="5">
        <v>45128337</v>
      </c>
      <c r="M5" s="5">
        <v>85274620</v>
      </c>
      <c r="N5" s="5">
        <v>685393901</v>
      </c>
    </row>
    <row r="6" spans="1:14" ht="15" x14ac:dyDescent="0.2">
      <c r="A6" s="4" t="s">
        <v>16</v>
      </c>
      <c r="B6" s="5">
        <v>96720209</v>
      </c>
      <c r="C6" s="5">
        <v>108875997</v>
      </c>
      <c r="D6" s="5">
        <v>104720055</v>
      </c>
      <c r="E6" s="5">
        <v>94397991</v>
      </c>
      <c r="F6" s="5">
        <v>110431128</v>
      </c>
      <c r="G6" s="5">
        <v>94598909</v>
      </c>
      <c r="H6" s="5">
        <v>87874669</v>
      </c>
      <c r="I6" s="5">
        <v>105406064</v>
      </c>
      <c r="J6" s="5">
        <v>101687489</v>
      </c>
      <c r="K6" s="5">
        <v>95536080</v>
      </c>
      <c r="L6" s="5">
        <v>109010037</v>
      </c>
      <c r="M6" s="5">
        <v>106223578</v>
      </c>
      <c r="N6" s="5">
        <v>1215482206</v>
      </c>
    </row>
    <row r="7" spans="1:14" ht="15" x14ac:dyDescent="0.2">
      <c r="A7" s="4" t="s">
        <v>17</v>
      </c>
      <c r="B7" s="5">
        <v>180999066</v>
      </c>
      <c r="C7" s="5">
        <v>211206086</v>
      </c>
      <c r="D7" s="5">
        <v>255018532</v>
      </c>
      <c r="E7" s="5">
        <v>179670213</v>
      </c>
      <c r="F7" s="5">
        <v>248890347</v>
      </c>
      <c r="G7" s="5">
        <v>239733876</v>
      </c>
      <c r="H7" s="5">
        <v>167585734</v>
      </c>
      <c r="I7" s="5">
        <v>208667536</v>
      </c>
      <c r="J7" s="5">
        <v>239191008</v>
      </c>
      <c r="K7" s="5">
        <v>170037919</v>
      </c>
      <c r="L7" s="5">
        <v>201376835</v>
      </c>
      <c r="M7" s="5">
        <v>233471781</v>
      </c>
      <c r="N7" s="5">
        <v>2535848933</v>
      </c>
    </row>
    <row r="8" spans="1:14" ht="15" x14ac:dyDescent="0.2">
      <c r="A8" s="4" t="s">
        <v>18</v>
      </c>
      <c r="B8" s="5">
        <v>192934739</v>
      </c>
      <c r="C8" s="5">
        <v>209859895</v>
      </c>
      <c r="D8" s="5">
        <v>222637266</v>
      </c>
      <c r="E8" s="5">
        <v>182874220</v>
      </c>
      <c r="F8" s="5">
        <v>211337144</v>
      </c>
      <c r="G8" s="5">
        <v>188079915</v>
      </c>
      <c r="H8" s="5">
        <v>129977217</v>
      </c>
      <c r="I8" s="5">
        <v>195354543</v>
      </c>
      <c r="J8" s="5">
        <v>201088774</v>
      </c>
      <c r="K8" s="5">
        <v>169877958</v>
      </c>
      <c r="L8" s="5">
        <v>202235180</v>
      </c>
      <c r="M8" s="5">
        <v>207478962</v>
      </c>
      <c r="N8" s="5">
        <v>2313735813</v>
      </c>
    </row>
    <row r="9" spans="1:14" ht="15" x14ac:dyDescent="0.2">
      <c r="A9" s="4" t="s">
        <v>19</v>
      </c>
      <c r="B9" s="5">
        <v>796840171</v>
      </c>
      <c r="C9" s="5">
        <v>842742415</v>
      </c>
      <c r="D9" s="5">
        <v>989519240</v>
      </c>
      <c r="E9" s="5">
        <v>1027596630</v>
      </c>
      <c r="F9" s="5">
        <v>865132205</v>
      </c>
      <c r="G9" s="5">
        <v>876236050</v>
      </c>
      <c r="H9" s="5">
        <v>810473087</v>
      </c>
      <c r="I9" s="5">
        <v>801979865</v>
      </c>
      <c r="J9" s="5">
        <v>1001296936</v>
      </c>
      <c r="K9" s="5">
        <v>823123852</v>
      </c>
      <c r="L9" s="5">
        <v>850114853</v>
      </c>
      <c r="M9" s="5">
        <v>959267110</v>
      </c>
      <c r="N9" s="5">
        <v>10644322414</v>
      </c>
    </row>
    <row r="10" spans="1:14" ht="15" x14ac:dyDescent="0.2">
      <c r="A10" s="4" t="s">
        <v>20</v>
      </c>
      <c r="B10" s="5">
        <v>19713682</v>
      </c>
      <c r="C10" s="5">
        <v>26983482</v>
      </c>
      <c r="D10" s="5">
        <v>23572135</v>
      </c>
      <c r="E10" s="5">
        <v>23222869</v>
      </c>
      <c r="F10" s="5">
        <v>29151945</v>
      </c>
      <c r="G10" s="5">
        <v>20072279</v>
      </c>
      <c r="H10" s="5">
        <v>17625410</v>
      </c>
      <c r="I10" s="5">
        <v>20438041</v>
      </c>
      <c r="J10" s="5">
        <v>19779020</v>
      </c>
      <c r="K10" s="5">
        <v>37129552</v>
      </c>
      <c r="L10" s="5">
        <v>23850315</v>
      </c>
      <c r="M10" s="5">
        <v>29846888</v>
      </c>
      <c r="N10" s="5">
        <v>291385618</v>
      </c>
    </row>
    <row r="11" spans="1:14" ht="15" x14ac:dyDescent="0.2">
      <c r="A11" s="4" t="s">
        <v>21</v>
      </c>
      <c r="B11" s="5">
        <v>200573812</v>
      </c>
      <c r="C11" s="5">
        <v>214406378</v>
      </c>
      <c r="D11" s="5">
        <v>175652862</v>
      </c>
      <c r="E11" s="5">
        <v>225410683</v>
      </c>
      <c r="F11" s="5">
        <v>248948120</v>
      </c>
      <c r="G11" s="5">
        <v>232656760</v>
      </c>
      <c r="H11" s="5">
        <v>214597447</v>
      </c>
      <c r="I11" s="5">
        <v>226150125</v>
      </c>
      <c r="J11" s="5">
        <v>222494814</v>
      </c>
      <c r="K11" s="5">
        <v>220764004</v>
      </c>
      <c r="L11" s="5">
        <v>249308493</v>
      </c>
      <c r="M11" s="5">
        <v>180096396</v>
      </c>
      <c r="N11" s="5">
        <v>2611059894</v>
      </c>
    </row>
    <row r="12" spans="1:14" ht="15" x14ac:dyDescent="0.2">
      <c r="A12" s="4" t="s">
        <v>22</v>
      </c>
      <c r="B12" s="5">
        <v>16126975</v>
      </c>
      <c r="C12" s="5">
        <v>16664159</v>
      </c>
      <c r="D12" s="5">
        <v>16087894</v>
      </c>
      <c r="E12" s="5">
        <v>15251934</v>
      </c>
      <c r="F12" s="5">
        <v>25423196</v>
      </c>
      <c r="G12" s="5">
        <v>19885890</v>
      </c>
      <c r="H12" s="5">
        <v>15164172</v>
      </c>
      <c r="I12" s="5">
        <v>24128774</v>
      </c>
      <c r="J12" s="5">
        <v>17970197</v>
      </c>
      <c r="K12" s="5">
        <v>16401093</v>
      </c>
      <c r="L12" s="5">
        <v>21774467</v>
      </c>
      <c r="M12" s="5">
        <v>20555276</v>
      </c>
      <c r="N12" s="5">
        <v>225434027</v>
      </c>
    </row>
    <row r="13" spans="1:14" ht="15" x14ac:dyDescent="0.2">
      <c r="A13" s="4" t="s">
        <v>23</v>
      </c>
      <c r="B13" s="5">
        <v>64833534</v>
      </c>
      <c r="C13" s="5">
        <v>70061025</v>
      </c>
      <c r="D13" s="5">
        <v>73516440</v>
      </c>
      <c r="E13" s="5">
        <v>65838143</v>
      </c>
      <c r="F13" s="5">
        <v>74018150</v>
      </c>
      <c r="G13" s="5">
        <v>70753975</v>
      </c>
      <c r="H13" s="5">
        <v>67069313</v>
      </c>
      <c r="I13" s="5">
        <v>66545440</v>
      </c>
      <c r="J13" s="5">
        <v>69990531</v>
      </c>
      <c r="K13" s="5">
        <v>61656643</v>
      </c>
      <c r="L13" s="5">
        <v>64335337</v>
      </c>
      <c r="M13" s="5">
        <v>69641989</v>
      </c>
      <c r="N13" s="5">
        <v>818260520</v>
      </c>
    </row>
    <row r="14" spans="1:14" ht="15" x14ac:dyDescent="0.2">
      <c r="A14" s="4" t="s">
        <v>24</v>
      </c>
      <c r="B14" s="5">
        <v>222968176</v>
      </c>
      <c r="C14" s="5">
        <v>234368886</v>
      </c>
      <c r="D14" s="5">
        <v>227046459</v>
      </c>
      <c r="E14" s="5">
        <v>207105391</v>
      </c>
      <c r="F14" s="5">
        <v>258317228</v>
      </c>
      <c r="G14" s="5">
        <v>224922630</v>
      </c>
      <c r="H14" s="5">
        <v>199006501</v>
      </c>
      <c r="I14" s="5">
        <v>254711542</v>
      </c>
      <c r="J14" s="5">
        <v>229307335</v>
      </c>
      <c r="K14" s="5">
        <v>219850650</v>
      </c>
      <c r="L14" s="5">
        <v>257249127</v>
      </c>
      <c r="M14" s="5">
        <v>238311185</v>
      </c>
      <c r="N14" s="5">
        <v>2773165110</v>
      </c>
    </row>
    <row r="15" spans="1:14" ht="15" x14ac:dyDescent="0.2">
      <c r="A15" s="4" t="s">
        <v>25</v>
      </c>
      <c r="B15" s="5">
        <v>227938507</v>
      </c>
      <c r="C15" s="5">
        <v>223237134</v>
      </c>
      <c r="D15" s="5">
        <v>245155792</v>
      </c>
      <c r="E15" s="5">
        <v>217252594</v>
      </c>
      <c r="F15" s="5">
        <v>234932990</v>
      </c>
      <c r="G15" s="5">
        <v>246455019</v>
      </c>
      <c r="H15" s="5">
        <v>219993362</v>
      </c>
      <c r="I15" s="5">
        <v>253435083</v>
      </c>
      <c r="J15" s="5">
        <v>260548173</v>
      </c>
      <c r="K15" s="5">
        <v>246958379</v>
      </c>
      <c r="L15" s="5">
        <v>245398309</v>
      </c>
      <c r="M15" s="5">
        <v>262869539</v>
      </c>
      <c r="N15" s="5">
        <v>2884174881</v>
      </c>
    </row>
    <row r="16" spans="1:14" ht="15" x14ac:dyDescent="0.2">
      <c r="A16" s="4" t="s">
        <v>26</v>
      </c>
      <c r="B16" s="5">
        <v>14236767</v>
      </c>
      <c r="C16" s="5">
        <v>14771338</v>
      </c>
      <c r="D16" s="5">
        <v>13820612</v>
      </c>
      <c r="E16" s="5">
        <v>12532211</v>
      </c>
      <c r="F16" s="5">
        <v>12772146</v>
      </c>
      <c r="G16" s="5">
        <v>13715935</v>
      </c>
      <c r="H16" s="5">
        <v>3974319</v>
      </c>
      <c r="I16" s="5">
        <v>13470948</v>
      </c>
      <c r="J16" s="5">
        <v>13009706</v>
      </c>
      <c r="K16" s="5">
        <v>12689805</v>
      </c>
      <c r="L16" s="5">
        <v>13780553</v>
      </c>
      <c r="M16" s="5">
        <v>14989797</v>
      </c>
      <c r="N16" s="5">
        <v>153764137</v>
      </c>
    </row>
    <row r="17" spans="1:14" ht="15" x14ac:dyDescent="0.2">
      <c r="A17" s="4" t="s">
        <v>27</v>
      </c>
      <c r="B17" s="5">
        <v>2086360</v>
      </c>
      <c r="C17" s="5">
        <v>2601553</v>
      </c>
      <c r="D17" s="5">
        <v>1486361</v>
      </c>
      <c r="E17" s="5">
        <v>1823752</v>
      </c>
      <c r="F17" s="5">
        <v>2585797</v>
      </c>
      <c r="G17" s="5">
        <v>1574880</v>
      </c>
      <c r="H17" s="5">
        <v>1961574</v>
      </c>
      <c r="I17" s="5">
        <v>2619965</v>
      </c>
      <c r="J17" s="5">
        <v>2754978</v>
      </c>
      <c r="K17" s="5">
        <v>1871250</v>
      </c>
      <c r="L17" s="5">
        <v>2699090</v>
      </c>
      <c r="M17" s="5">
        <v>1832822</v>
      </c>
      <c r="N17" s="5">
        <v>25898382</v>
      </c>
    </row>
    <row r="18" spans="1:14" ht="15" x14ac:dyDescent="0.2">
      <c r="A18" s="4" t="s">
        <v>28</v>
      </c>
      <c r="B18" s="5">
        <v>2260707270</v>
      </c>
      <c r="C18" s="5">
        <v>2395395363</v>
      </c>
      <c r="D18" s="5">
        <v>2599245005</v>
      </c>
      <c r="E18" s="5">
        <v>2440089831</v>
      </c>
      <c r="F18" s="5">
        <v>2576030057</v>
      </c>
      <c r="G18" s="5">
        <v>2472139201</v>
      </c>
      <c r="H18" s="5">
        <v>2120151092</v>
      </c>
      <c r="I18" s="5">
        <v>2313592700</v>
      </c>
      <c r="J18" s="5">
        <v>2576769671</v>
      </c>
      <c r="K18" s="5">
        <v>2214444182</v>
      </c>
      <c r="L18" s="5">
        <v>2400960209</v>
      </c>
      <c r="M18" s="5">
        <v>2523321195</v>
      </c>
      <c r="N18" s="5">
        <v>28892845776</v>
      </c>
    </row>
    <row r="19" spans="1:14" ht="15" x14ac:dyDescent="0.2">
      <c r="A19" s="14" t="s">
        <v>52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ht="15" x14ac:dyDescent="0.2">
      <c r="A20" s="11" t="s">
        <v>50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</sheetData>
  <mergeCells count="3">
    <mergeCell ref="A1:N1"/>
    <mergeCell ref="A19:N19"/>
    <mergeCell ref="A20:N20"/>
  </mergeCells>
  <hyperlinks>
    <hyperlink ref="A19:N19" location="'Table of Contents'!A14" display="Back to Table of Contents" xr:uid="{59C49AB5-E710-43CB-9541-030B3626773E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5F4F6-F147-4318-8300-3342376F7A61}">
  <sheetPr codeName="Sheet14"/>
  <dimension ref="A1:N20"/>
  <sheetViews>
    <sheetView workbookViewId="0">
      <selection sqref="A1:N1"/>
    </sheetView>
  </sheetViews>
  <sheetFormatPr defaultColWidth="0" defaultRowHeight="0" customHeight="1" zeroHeight="1" x14ac:dyDescent="0.2"/>
  <cols>
    <col min="1" max="1" width="27.7109375" style="4" customWidth="1"/>
    <col min="2" max="2" width="16.140625" style="4" customWidth="1"/>
    <col min="3" max="3" width="15.5703125" style="4" customWidth="1"/>
    <col min="4" max="5" width="16" style="4" bestFit="1" customWidth="1"/>
    <col min="6" max="6" width="15.5703125" style="4" customWidth="1"/>
    <col min="7" max="13" width="16" style="4" bestFit="1" customWidth="1"/>
    <col min="14" max="14" width="17.28515625" style="4" bestFit="1" customWidth="1"/>
    <col min="15" max="16384" width="8.85546875" style="2" hidden="1"/>
  </cols>
  <sheetData>
    <row r="1" spans="1:14" s="10" customFormat="1" ht="18" x14ac:dyDescent="0.25">
      <c r="A1" s="13" t="s">
        <v>60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5.75" x14ac:dyDescent="0.25">
      <c r="A2" s="1" t="s">
        <v>53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</row>
    <row r="3" spans="1:14" ht="15" x14ac:dyDescent="0.2">
      <c r="A3" s="4" t="s">
        <v>13</v>
      </c>
      <c r="B3" s="5">
        <v>988737</v>
      </c>
      <c r="C3" s="5">
        <v>1275488</v>
      </c>
      <c r="D3" s="5">
        <v>1197468</v>
      </c>
      <c r="E3" s="5">
        <v>1146548</v>
      </c>
      <c r="F3" s="5">
        <v>1526385</v>
      </c>
      <c r="G3" s="5">
        <v>795751</v>
      </c>
      <c r="H3" s="5">
        <v>960399</v>
      </c>
      <c r="I3" s="5">
        <v>1655299</v>
      </c>
      <c r="J3" s="5">
        <v>1331018</v>
      </c>
      <c r="K3" s="5">
        <v>1418867</v>
      </c>
      <c r="L3" s="5">
        <v>1400342</v>
      </c>
      <c r="M3" s="5">
        <v>1040164</v>
      </c>
      <c r="N3" s="5">
        <v>14736466</v>
      </c>
    </row>
    <row r="4" spans="1:14" ht="15" x14ac:dyDescent="0.2">
      <c r="A4" s="4" t="s">
        <v>14</v>
      </c>
      <c r="B4" s="5">
        <v>86588774</v>
      </c>
      <c r="C4" s="5">
        <v>83737352</v>
      </c>
      <c r="D4" s="5">
        <v>80548956</v>
      </c>
      <c r="E4" s="5">
        <v>68017315</v>
      </c>
      <c r="F4" s="5">
        <v>88095112</v>
      </c>
      <c r="G4" s="5">
        <v>83687541</v>
      </c>
      <c r="H4" s="5">
        <v>20688718</v>
      </c>
      <c r="I4" s="5">
        <v>83600102</v>
      </c>
      <c r="J4" s="5">
        <v>68003624</v>
      </c>
      <c r="K4" s="5">
        <v>68025012</v>
      </c>
      <c r="L4" s="5">
        <v>59531888</v>
      </c>
      <c r="M4" s="5">
        <v>66779240</v>
      </c>
      <c r="N4" s="5">
        <v>857303634</v>
      </c>
    </row>
    <row r="5" spans="1:14" ht="15" x14ac:dyDescent="0.2">
      <c r="A5" s="4" t="s">
        <v>15</v>
      </c>
      <c r="B5" s="5">
        <v>47751747</v>
      </c>
      <c r="C5" s="5">
        <v>48394705</v>
      </c>
      <c r="D5" s="5">
        <v>77359304</v>
      </c>
      <c r="E5" s="5">
        <v>39433530</v>
      </c>
      <c r="F5" s="5">
        <v>45365357</v>
      </c>
      <c r="G5" s="5">
        <v>74031175</v>
      </c>
      <c r="H5" s="5">
        <v>45699544</v>
      </c>
      <c r="I5" s="5">
        <v>33977941</v>
      </c>
      <c r="J5" s="5">
        <v>67629972</v>
      </c>
      <c r="K5" s="5">
        <v>41868042</v>
      </c>
      <c r="L5" s="5">
        <v>43016952</v>
      </c>
      <c r="M5" s="5">
        <v>81788962</v>
      </c>
      <c r="N5" s="5">
        <v>646317231</v>
      </c>
    </row>
    <row r="6" spans="1:14" ht="15" x14ac:dyDescent="0.2">
      <c r="A6" s="4" t="s">
        <v>16</v>
      </c>
      <c r="B6" s="5">
        <v>102894936</v>
      </c>
      <c r="C6" s="5">
        <v>115009207</v>
      </c>
      <c r="D6" s="5">
        <v>104767722</v>
      </c>
      <c r="E6" s="5">
        <v>97646300</v>
      </c>
      <c r="F6" s="5">
        <v>118726407</v>
      </c>
      <c r="G6" s="5">
        <v>95334461</v>
      </c>
      <c r="H6" s="5">
        <v>97943724</v>
      </c>
      <c r="I6" s="5">
        <v>110932763</v>
      </c>
      <c r="J6" s="5">
        <v>98146336</v>
      </c>
      <c r="K6" s="5">
        <v>100535153</v>
      </c>
      <c r="L6" s="5">
        <v>117722018</v>
      </c>
      <c r="M6" s="5">
        <v>101421472</v>
      </c>
      <c r="N6" s="5">
        <v>1261080499</v>
      </c>
    </row>
    <row r="7" spans="1:14" ht="15" x14ac:dyDescent="0.2">
      <c r="A7" s="4" t="s">
        <v>17</v>
      </c>
      <c r="B7" s="5">
        <v>182715630</v>
      </c>
      <c r="C7" s="5">
        <v>224954532</v>
      </c>
      <c r="D7" s="5">
        <v>241845172</v>
      </c>
      <c r="E7" s="5">
        <v>184344285</v>
      </c>
      <c r="F7" s="5">
        <v>209453156</v>
      </c>
      <c r="G7" s="5">
        <v>208609411</v>
      </c>
      <c r="H7" s="5">
        <v>152547025</v>
      </c>
      <c r="I7" s="5">
        <v>182058205</v>
      </c>
      <c r="J7" s="5">
        <v>201422738</v>
      </c>
      <c r="K7" s="5">
        <v>173328922</v>
      </c>
      <c r="L7" s="5">
        <v>175818695</v>
      </c>
      <c r="M7" s="5">
        <v>194525696</v>
      </c>
      <c r="N7" s="5">
        <v>2331623467</v>
      </c>
    </row>
    <row r="8" spans="1:14" ht="15" x14ac:dyDescent="0.2">
      <c r="A8" s="4" t="s">
        <v>18</v>
      </c>
      <c r="B8" s="5">
        <v>176898310</v>
      </c>
      <c r="C8" s="5">
        <v>196790376</v>
      </c>
      <c r="D8" s="5">
        <v>193376342</v>
      </c>
      <c r="E8" s="5">
        <v>159859270</v>
      </c>
      <c r="F8" s="5">
        <v>194819585</v>
      </c>
      <c r="G8" s="5">
        <v>172836070</v>
      </c>
      <c r="H8" s="5">
        <v>170672954</v>
      </c>
      <c r="I8" s="5">
        <v>188187170</v>
      </c>
      <c r="J8" s="5">
        <v>185177337</v>
      </c>
      <c r="K8" s="5">
        <v>181185571</v>
      </c>
      <c r="L8" s="5">
        <v>201654564</v>
      </c>
      <c r="M8" s="5">
        <v>197168960</v>
      </c>
      <c r="N8" s="5">
        <v>2218626509</v>
      </c>
    </row>
    <row r="9" spans="1:14" ht="15" x14ac:dyDescent="0.2">
      <c r="A9" s="4" t="s">
        <v>19</v>
      </c>
      <c r="B9" s="5">
        <v>841161585</v>
      </c>
      <c r="C9" s="5">
        <v>783424997</v>
      </c>
      <c r="D9" s="5">
        <v>1027642322</v>
      </c>
      <c r="E9" s="5">
        <v>1021535583</v>
      </c>
      <c r="F9" s="5">
        <v>905333084</v>
      </c>
      <c r="G9" s="5">
        <v>863596088</v>
      </c>
      <c r="H9" s="5">
        <v>876738789</v>
      </c>
      <c r="I9" s="5">
        <v>881619481</v>
      </c>
      <c r="J9" s="5">
        <v>930197607</v>
      </c>
      <c r="K9" s="5">
        <v>865036828</v>
      </c>
      <c r="L9" s="5">
        <v>880594333</v>
      </c>
      <c r="M9" s="5">
        <v>957914173</v>
      </c>
      <c r="N9" s="5">
        <v>10834794870</v>
      </c>
    </row>
    <row r="10" spans="1:14" ht="15" x14ac:dyDescent="0.2">
      <c r="A10" s="4" t="s">
        <v>20</v>
      </c>
      <c r="B10" s="5">
        <v>23885012</v>
      </c>
      <c r="C10" s="5">
        <v>27245843</v>
      </c>
      <c r="D10" s="5">
        <v>27937405</v>
      </c>
      <c r="E10" s="5">
        <v>21928815</v>
      </c>
      <c r="F10" s="5">
        <v>25813639</v>
      </c>
      <c r="G10" s="5">
        <v>27478502</v>
      </c>
      <c r="H10" s="5">
        <v>19001100</v>
      </c>
      <c r="I10" s="5">
        <v>25399960</v>
      </c>
      <c r="J10" s="5">
        <v>22752438</v>
      </c>
      <c r="K10" s="5">
        <v>17772601</v>
      </c>
      <c r="L10" s="5">
        <v>21263294</v>
      </c>
      <c r="M10" s="5">
        <v>23504526</v>
      </c>
      <c r="N10" s="5">
        <v>283983135</v>
      </c>
    </row>
    <row r="11" spans="1:14" ht="15" x14ac:dyDescent="0.2">
      <c r="A11" s="4" t="s">
        <v>21</v>
      </c>
      <c r="B11" s="5">
        <v>210344097</v>
      </c>
      <c r="C11" s="5">
        <v>227713256</v>
      </c>
      <c r="D11" s="5">
        <v>217557952</v>
      </c>
      <c r="E11" s="5">
        <v>232168341</v>
      </c>
      <c r="F11" s="5">
        <v>241229329</v>
      </c>
      <c r="G11" s="5">
        <v>204307133</v>
      </c>
      <c r="H11" s="5">
        <v>232655345</v>
      </c>
      <c r="I11" s="5">
        <v>235052334</v>
      </c>
      <c r="J11" s="5">
        <v>184277022</v>
      </c>
      <c r="K11" s="5">
        <v>209332508</v>
      </c>
      <c r="L11" s="5">
        <v>236153575</v>
      </c>
      <c r="M11" s="5">
        <v>185926083</v>
      </c>
      <c r="N11" s="5">
        <v>2616716975</v>
      </c>
    </row>
    <row r="12" spans="1:14" ht="15" x14ac:dyDescent="0.2">
      <c r="A12" s="4" t="s">
        <v>22</v>
      </c>
      <c r="B12" s="5">
        <v>24095267</v>
      </c>
      <c r="C12" s="5">
        <v>17213526</v>
      </c>
      <c r="D12" s="5">
        <v>14374540</v>
      </c>
      <c r="E12" s="5">
        <v>17754025</v>
      </c>
      <c r="F12" s="5">
        <v>31375588</v>
      </c>
      <c r="G12" s="5">
        <v>19431701</v>
      </c>
      <c r="H12" s="5">
        <v>18952507</v>
      </c>
      <c r="I12" s="5">
        <v>21864338</v>
      </c>
      <c r="J12" s="5">
        <v>17620096</v>
      </c>
      <c r="K12" s="5">
        <v>22044517</v>
      </c>
      <c r="L12" s="5">
        <v>24377761</v>
      </c>
      <c r="M12" s="5">
        <v>20610195</v>
      </c>
      <c r="N12" s="5">
        <v>249714061</v>
      </c>
    </row>
    <row r="13" spans="1:14" ht="15" x14ac:dyDescent="0.2">
      <c r="A13" s="4" t="s">
        <v>23</v>
      </c>
      <c r="B13" s="5">
        <v>63596742</v>
      </c>
      <c r="C13" s="5">
        <v>65876032</v>
      </c>
      <c r="D13" s="5">
        <v>68775729</v>
      </c>
      <c r="E13" s="5">
        <v>59410510</v>
      </c>
      <c r="F13" s="5">
        <v>70738801</v>
      </c>
      <c r="G13" s="5">
        <v>64788024</v>
      </c>
      <c r="H13" s="5">
        <v>60388727</v>
      </c>
      <c r="I13" s="5">
        <v>69271722</v>
      </c>
      <c r="J13" s="5">
        <v>61991786</v>
      </c>
      <c r="K13" s="5">
        <v>57225581</v>
      </c>
      <c r="L13" s="5">
        <v>70418843</v>
      </c>
      <c r="M13" s="5">
        <v>67622083</v>
      </c>
      <c r="N13" s="5">
        <v>780104580</v>
      </c>
    </row>
    <row r="14" spans="1:14" ht="15" x14ac:dyDescent="0.2">
      <c r="A14" s="4" t="s">
        <v>24</v>
      </c>
      <c r="B14" s="5">
        <v>226526682</v>
      </c>
      <c r="C14" s="5">
        <v>260130408</v>
      </c>
      <c r="D14" s="5">
        <v>228682891</v>
      </c>
      <c r="E14" s="5">
        <v>200927386</v>
      </c>
      <c r="F14" s="5">
        <v>269567664</v>
      </c>
      <c r="G14" s="5">
        <v>221690170</v>
      </c>
      <c r="H14" s="5">
        <v>207861274</v>
      </c>
      <c r="I14" s="5">
        <v>260152560</v>
      </c>
      <c r="J14" s="5">
        <v>238288407</v>
      </c>
      <c r="K14" s="5">
        <v>228555466</v>
      </c>
      <c r="L14" s="5">
        <v>265638581</v>
      </c>
      <c r="M14" s="5">
        <v>237528666</v>
      </c>
      <c r="N14" s="5">
        <v>2845550155</v>
      </c>
    </row>
    <row r="15" spans="1:14" ht="15" x14ac:dyDescent="0.2">
      <c r="A15" s="4" t="s">
        <v>25</v>
      </c>
      <c r="B15" s="5">
        <v>240900965</v>
      </c>
      <c r="C15" s="5">
        <v>232245555</v>
      </c>
      <c r="D15" s="5">
        <v>262189817</v>
      </c>
      <c r="E15" s="5">
        <v>226130459</v>
      </c>
      <c r="F15" s="5">
        <v>250813714</v>
      </c>
      <c r="G15" s="5">
        <v>255481384</v>
      </c>
      <c r="H15" s="5">
        <v>245640878</v>
      </c>
      <c r="I15" s="5">
        <v>259495615</v>
      </c>
      <c r="J15" s="5">
        <v>276247075</v>
      </c>
      <c r="K15" s="5">
        <v>249619927</v>
      </c>
      <c r="L15" s="5">
        <v>252063418</v>
      </c>
      <c r="M15" s="5">
        <v>277330842</v>
      </c>
      <c r="N15" s="5">
        <v>3028159649</v>
      </c>
    </row>
    <row r="16" spans="1:14" ht="15" x14ac:dyDescent="0.2">
      <c r="A16" s="4" t="s">
        <v>26</v>
      </c>
      <c r="B16" s="5">
        <v>14625647</v>
      </c>
      <c r="C16" s="5">
        <v>15191875</v>
      </c>
      <c r="D16" s="5">
        <v>13381442</v>
      </c>
      <c r="E16" s="5">
        <v>12504499</v>
      </c>
      <c r="F16" s="5">
        <v>13205788</v>
      </c>
      <c r="G16" s="5">
        <v>13224708</v>
      </c>
      <c r="H16" s="5">
        <v>12708686</v>
      </c>
      <c r="I16" s="5">
        <v>13073105</v>
      </c>
      <c r="J16" s="5">
        <v>13100445</v>
      </c>
      <c r="K16" s="5">
        <v>13227269</v>
      </c>
      <c r="L16" s="5">
        <v>14305551</v>
      </c>
      <c r="M16" s="5">
        <v>15127004</v>
      </c>
      <c r="N16" s="5">
        <v>163676019</v>
      </c>
    </row>
    <row r="17" spans="1:14" ht="15" x14ac:dyDescent="0.2">
      <c r="A17" s="4" t="s">
        <v>27</v>
      </c>
      <c r="B17" s="5">
        <v>1689647</v>
      </c>
      <c r="C17" s="5">
        <v>2239419</v>
      </c>
      <c r="D17" s="5">
        <v>1792787</v>
      </c>
      <c r="E17" s="5">
        <v>1872424</v>
      </c>
      <c r="F17" s="5">
        <v>3336562</v>
      </c>
      <c r="G17" s="5">
        <v>1998130</v>
      </c>
      <c r="H17" s="5">
        <v>2499101</v>
      </c>
      <c r="I17" s="5">
        <v>2727032</v>
      </c>
      <c r="J17" s="5">
        <v>1928159</v>
      </c>
      <c r="K17" s="5">
        <v>2092726</v>
      </c>
      <c r="L17" s="5">
        <v>3016642</v>
      </c>
      <c r="M17" s="5">
        <v>6873710</v>
      </c>
      <c r="N17" s="5">
        <v>32066339</v>
      </c>
    </row>
    <row r="18" spans="1:14" ht="15" x14ac:dyDescent="0.2">
      <c r="A18" s="4" t="s">
        <v>28</v>
      </c>
      <c r="B18" s="5">
        <v>2244663778</v>
      </c>
      <c r="C18" s="5">
        <v>2301442571</v>
      </c>
      <c r="D18" s="5">
        <v>2561429849</v>
      </c>
      <c r="E18" s="5">
        <v>2344679290</v>
      </c>
      <c r="F18" s="5">
        <v>2469400171</v>
      </c>
      <c r="G18" s="5">
        <v>2307290249</v>
      </c>
      <c r="H18" s="5">
        <v>2164958771</v>
      </c>
      <c r="I18" s="5">
        <v>2369067627</v>
      </c>
      <c r="J18" s="5">
        <v>2368114060</v>
      </c>
      <c r="K18" s="5">
        <v>2231268990</v>
      </c>
      <c r="L18" s="5">
        <v>2366976457</v>
      </c>
      <c r="M18" s="5">
        <v>2435161776</v>
      </c>
      <c r="N18" s="5">
        <v>28164453589</v>
      </c>
    </row>
    <row r="19" spans="1:14" ht="15" x14ac:dyDescent="0.2">
      <c r="A19" s="14" t="s">
        <v>52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ht="15" x14ac:dyDescent="0.2">
      <c r="A20" s="11" t="s">
        <v>50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</sheetData>
  <mergeCells count="3">
    <mergeCell ref="A1:N1"/>
    <mergeCell ref="A19:N19"/>
    <mergeCell ref="A20:N20"/>
  </mergeCells>
  <hyperlinks>
    <hyperlink ref="A19:N19" location="'Table of Contents'!A15" display="Back to Table of Contents" xr:uid="{FD7DCC5D-D3AC-414B-A8B7-77CE22502D3B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03B23-1179-4E34-937E-44ED75BA8A1E}">
  <sheetPr codeName="Sheet15"/>
  <dimension ref="A1:N20"/>
  <sheetViews>
    <sheetView workbookViewId="0">
      <selection sqref="A1:N1"/>
    </sheetView>
  </sheetViews>
  <sheetFormatPr defaultColWidth="0" defaultRowHeight="0" customHeight="1" zeroHeight="1" x14ac:dyDescent="0.2"/>
  <cols>
    <col min="1" max="1" width="27.7109375" style="4" customWidth="1"/>
    <col min="2" max="2" width="16.140625" style="4" customWidth="1"/>
    <col min="3" max="3" width="15.5703125" style="4" customWidth="1"/>
    <col min="4" max="5" width="16" style="4" bestFit="1" customWidth="1"/>
    <col min="6" max="6" width="15.5703125" style="4" customWidth="1"/>
    <col min="7" max="13" width="16" style="4" bestFit="1" customWidth="1"/>
    <col min="14" max="14" width="17.28515625" style="4" bestFit="1" customWidth="1"/>
    <col min="15" max="16384" width="8.85546875" style="2" hidden="1"/>
  </cols>
  <sheetData>
    <row r="1" spans="1:14" s="10" customFormat="1" ht="18" x14ac:dyDescent="0.25">
      <c r="A1" s="13" t="s">
        <v>59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5.75" x14ac:dyDescent="0.25">
      <c r="A2" s="1" t="s">
        <v>53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</row>
    <row r="3" spans="1:14" ht="15" x14ac:dyDescent="0.2">
      <c r="A3" s="4" t="s">
        <v>13</v>
      </c>
      <c r="B3" s="5">
        <v>937230</v>
      </c>
      <c r="C3" s="5">
        <v>1391841</v>
      </c>
      <c r="D3" s="5">
        <v>1351341</v>
      </c>
      <c r="E3" s="5">
        <v>1111845</v>
      </c>
      <c r="F3" s="5">
        <v>1459331</v>
      </c>
      <c r="G3" s="5">
        <v>807366</v>
      </c>
      <c r="H3" s="5">
        <v>1039079</v>
      </c>
      <c r="I3" s="5">
        <v>1502388</v>
      </c>
      <c r="J3" s="5">
        <v>1653017</v>
      </c>
      <c r="K3" s="5">
        <v>1533712</v>
      </c>
      <c r="L3" s="5">
        <v>1785894</v>
      </c>
      <c r="M3" s="5">
        <v>1269417</v>
      </c>
      <c r="N3" s="5">
        <v>15842461</v>
      </c>
    </row>
    <row r="4" spans="1:14" ht="15" x14ac:dyDescent="0.2">
      <c r="A4" s="4" t="s">
        <v>14</v>
      </c>
      <c r="B4" s="5">
        <v>63804510</v>
      </c>
      <c r="C4" s="5">
        <v>69229994</v>
      </c>
      <c r="D4" s="5">
        <v>53202114</v>
      </c>
      <c r="E4" s="5">
        <v>51171896</v>
      </c>
      <c r="F4" s="5">
        <v>81301588</v>
      </c>
      <c r="G4" s="5">
        <v>78792977</v>
      </c>
      <c r="H4" s="5">
        <v>81485660</v>
      </c>
      <c r="I4" s="5">
        <v>60088141</v>
      </c>
      <c r="J4" s="5">
        <v>85985393</v>
      </c>
      <c r="K4" s="5">
        <v>98388522</v>
      </c>
      <c r="L4" s="5">
        <v>115768006</v>
      </c>
      <c r="M4" s="5">
        <v>34106461</v>
      </c>
      <c r="N4" s="5">
        <v>873325262</v>
      </c>
    </row>
    <row r="5" spans="1:14" ht="15" x14ac:dyDescent="0.2">
      <c r="A5" s="4" t="s">
        <v>15</v>
      </c>
      <c r="B5" s="5">
        <v>24940289</v>
      </c>
      <c r="C5" s="5">
        <v>44699875</v>
      </c>
      <c r="D5" s="5">
        <v>77683423</v>
      </c>
      <c r="E5" s="5">
        <v>40477581</v>
      </c>
      <c r="F5" s="5">
        <v>42274589</v>
      </c>
      <c r="G5" s="5">
        <v>71700422</v>
      </c>
      <c r="H5" s="5">
        <v>38203161</v>
      </c>
      <c r="I5" s="5">
        <v>26695231</v>
      </c>
      <c r="J5" s="5">
        <v>65434487</v>
      </c>
      <c r="K5" s="5">
        <v>43811041</v>
      </c>
      <c r="L5" s="5">
        <v>38352844</v>
      </c>
      <c r="M5" s="5">
        <v>80256472</v>
      </c>
      <c r="N5" s="5">
        <v>594529415</v>
      </c>
    </row>
    <row r="6" spans="1:14" ht="15" x14ac:dyDescent="0.2">
      <c r="A6" s="4" t="s">
        <v>16</v>
      </c>
      <c r="B6" s="5">
        <v>108611065</v>
      </c>
      <c r="C6" s="5">
        <v>115712004</v>
      </c>
      <c r="D6" s="5">
        <v>106850517</v>
      </c>
      <c r="E6" s="5">
        <v>105081488</v>
      </c>
      <c r="F6" s="5">
        <v>113720432</v>
      </c>
      <c r="G6" s="5">
        <v>101899639</v>
      </c>
      <c r="H6" s="5">
        <v>90791491</v>
      </c>
      <c r="I6" s="5">
        <v>110982077</v>
      </c>
      <c r="J6" s="5">
        <v>96199155</v>
      </c>
      <c r="K6" s="5">
        <v>111083189</v>
      </c>
      <c r="L6" s="5">
        <v>136355951</v>
      </c>
      <c r="M6" s="5">
        <v>110273649</v>
      </c>
      <c r="N6" s="5">
        <v>1307560657</v>
      </c>
    </row>
    <row r="7" spans="1:14" ht="15" x14ac:dyDescent="0.2">
      <c r="A7" s="4" t="s">
        <v>17</v>
      </c>
      <c r="B7" s="5">
        <v>171079559</v>
      </c>
      <c r="C7" s="5">
        <v>190269348</v>
      </c>
      <c r="D7" s="5">
        <v>186785986</v>
      </c>
      <c r="E7" s="5">
        <v>169685622</v>
      </c>
      <c r="F7" s="5">
        <v>216565279</v>
      </c>
      <c r="G7" s="5">
        <v>213663668</v>
      </c>
      <c r="H7" s="5">
        <v>174844350</v>
      </c>
      <c r="I7" s="5">
        <v>223785263</v>
      </c>
      <c r="J7" s="5">
        <v>207979218</v>
      </c>
      <c r="K7" s="5">
        <v>185324462</v>
      </c>
      <c r="L7" s="5">
        <v>214120907</v>
      </c>
      <c r="M7" s="5">
        <v>198321325</v>
      </c>
      <c r="N7" s="5">
        <v>2352424987</v>
      </c>
    </row>
    <row r="8" spans="1:14" ht="15" x14ac:dyDescent="0.2">
      <c r="A8" s="4" t="s">
        <v>18</v>
      </c>
      <c r="B8" s="5">
        <v>194071819</v>
      </c>
      <c r="C8" s="5">
        <v>199119286</v>
      </c>
      <c r="D8" s="5">
        <v>198375182</v>
      </c>
      <c r="E8" s="5">
        <v>181668391</v>
      </c>
      <c r="F8" s="5">
        <v>198260715</v>
      </c>
      <c r="G8" s="5">
        <v>189959212</v>
      </c>
      <c r="H8" s="5">
        <v>176340933</v>
      </c>
      <c r="I8" s="5">
        <v>212252780</v>
      </c>
      <c r="J8" s="5">
        <v>208552318</v>
      </c>
      <c r="K8" s="5">
        <v>211345058</v>
      </c>
      <c r="L8" s="5">
        <v>223788889</v>
      </c>
      <c r="M8" s="5">
        <v>209591518</v>
      </c>
      <c r="N8" s="5">
        <v>2403326101</v>
      </c>
    </row>
    <row r="9" spans="1:14" ht="15" x14ac:dyDescent="0.2">
      <c r="A9" s="4" t="s">
        <v>19</v>
      </c>
      <c r="B9" s="5">
        <v>805815634</v>
      </c>
      <c r="C9" s="5">
        <v>823096215</v>
      </c>
      <c r="D9" s="5">
        <v>1014820431</v>
      </c>
      <c r="E9" s="5">
        <v>1071784039</v>
      </c>
      <c r="F9" s="5">
        <v>881088304</v>
      </c>
      <c r="G9" s="5">
        <v>905891602</v>
      </c>
      <c r="H9" s="5">
        <v>840239101</v>
      </c>
      <c r="I9" s="5">
        <v>874794301</v>
      </c>
      <c r="J9" s="5">
        <v>964252973</v>
      </c>
      <c r="K9" s="5">
        <v>903341904</v>
      </c>
      <c r="L9" s="5">
        <v>909823673</v>
      </c>
      <c r="M9" s="5">
        <v>962159912</v>
      </c>
      <c r="N9" s="5">
        <v>10957108089</v>
      </c>
    </row>
    <row r="10" spans="1:14" ht="15" x14ac:dyDescent="0.2">
      <c r="A10" s="4" t="s">
        <v>20</v>
      </c>
      <c r="B10" s="5">
        <v>24674579</v>
      </c>
      <c r="C10" s="5">
        <v>23555081</v>
      </c>
      <c r="D10" s="5">
        <v>18516659</v>
      </c>
      <c r="E10" s="5">
        <v>20754979</v>
      </c>
      <c r="F10" s="5">
        <v>20457114</v>
      </c>
      <c r="G10" s="5">
        <v>21775246</v>
      </c>
      <c r="H10" s="5">
        <v>23016712</v>
      </c>
      <c r="I10" s="5">
        <v>20097294</v>
      </c>
      <c r="J10" s="5">
        <v>26467255</v>
      </c>
      <c r="K10" s="5">
        <v>19137492</v>
      </c>
      <c r="L10" s="5">
        <v>26375963</v>
      </c>
      <c r="M10" s="5">
        <v>24525304</v>
      </c>
      <c r="N10" s="5">
        <v>269353678</v>
      </c>
    </row>
    <row r="11" spans="1:14" ht="15" x14ac:dyDescent="0.2">
      <c r="A11" s="4" t="s">
        <v>21</v>
      </c>
      <c r="B11" s="5">
        <v>207571143</v>
      </c>
      <c r="C11" s="5">
        <v>241841541</v>
      </c>
      <c r="D11" s="5">
        <v>224572907</v>
      </c>
      <c r="E11" s="5">
        <v>257890418</v>
      </c>
      <c r="F11" s="5">
        <v>252973021</v>
      </c>
      <c r="G11" s="5">
        <v>237454403</v>
      </c>
      <c r="H11" s="5">
        <v>247736597</v>
      </c>
      <c r="I11" s="5">
        <v>229502801</v>
      </c>
      <c r="J11" s="5">
        <v>228941249</v>
      </c>
      <c r="K11" s="5">
        <v>249308409</v>
      </c>
      <c r="L11" s="5">
        <v>242103397</v>
      </c>
      <c r="M11" s="5">
        <v>207678389</v>
      </c>
      <c r="N11" s="5">
        <v>2827574275</v>
      </c>
    </row>
    <row r="12" spans="1:14" ht="15" x14ac:dyDescent="0.2">
      <c r="A12" s="4" t="s">
        <v>22</v>
      </c>
      <c r="B12" s="5">
        <v>19390360</v>
      </c>
      <c r="C12" s="5">
        <v>19265289</v>
      </c>
      <c r="D12" s="5">
        <v>18582899</v>
      </c>
      <c r="E12" s="5">
        <v>21090692</v>
      </c>
      <c r="F12" s="5">
        <v>26903593</v>
      </c>
      <c r="G12" s="5">
        <v>20960959</v>
      </c>
      <c r="H12" s="5">
        <v>18697485</v>
      </c>
      <c r="I12" s="5">
        <v>21896580</v>
      </c>
      <c r="J12" s="5">
        <v>20094406</v>
      </c>
      <c r="K12" s="5">
        <v>19195630</v>
      </c>
      <c r="L12" s="5">
        <v>27029909</v>
      </c>
      <c r="M12" s="5">
        <v>22205394</v>
      </c>
      <c r="N12" s="5">
        <v>255313196</v>
      </c>
    </row>
    <row r="13" spans="1:14" ht="15" x14ac:dyDescent="0.2">
      <c r="A13" s="4" t="s">
        <v>23</v>
      </c>
      <c r="B13" s="5">
        <v>58658817</v>
      </c>
      <c r="C13" s="5">
        <v>65878082</v>
      </c>
      <c r="D13" s="5">
        <v>66066507</v>
      </c>
      <c r="E13" s="5">
        <v>58738876</v>
      </c>
      <c r="F13" s="5">
        <v>69158944</v>
      </c>
      <c r="G13" s="5">
        <v>65167915</v>
      </c>
      <c r="H13" s="5">
        <v>56795192</v>
      </c>
      <c r="I13" s="5">
        <v>69588092</v>
      </c>
      <c r="J13" s="5">
        <v>69665811</v>
      </c>
      <c r="K13" s="5">
        <v>63742932</v>
      </c>
      <c r="L13" s="5">
        <v>68351393</v>
      </c>
      <c r="M13" s="5">
        <v>69197103</v>
      </c>
      <c r="N13" s="5">
        <v>781009664</v>
      </c>
    </row>
    <row r="14" spans="1:14" ht="15" x14ac:dyDescent="0.2">
      <c r="A14" s="4" t="s">
        <v>24</v>
      </c>
      <c r="B14" s="5">
        <v>231690548</v>
      </c>
      <c r="C14" s="5">
        <v>257057578</v>
      </c>
      <c r="D14" s="5">
        <v>235258464</v>
      </c>
      <c r="E14" s="5">
        <v>218331689</v>
      </c>
      <c r="F14" s="5">
        <v>273238249</v>
      </c>
      <c r="G14" s="5">
        <v>237617406</v>
      </c>
      <c r="H14" s="5">
        <v>227974827</v>
      </c>
      <c r="I14" s="5">
        <v>272795611</v>
      </c>
      <c r="J14" s="5">
        <v>245620934</v>
      </c>
      <c r="K14" s="5">
        <v>240754859</v>
      </c>
      <c r="L14" s="5">
        <v>274843687</v>
      </c>
      <c r="M14" s="5">
        <v>252855602</v>
      </c>
      <c r="N14" s="5">
        <v>2968039454</v>
      </c>
    </row>
    <row r="15" spans="1:14" ht="15" x14ac:dyDescent="0.2">
      <c r="A15" s="4" t="s">
        <v>25</v>
      </c>
      <c r="B15" s="5">
        <v>242356700</v>
      </c>
      <c r="C15" s="5">
        <v>243186057</v>
      </c>
      <c r="D15" s="5">
        <v>275980473</v>
      </c>
      <c r="E15" s="5">
        <v>235285047</v>
      </c>
      <c r="F15" s="5">
        <v>252568062</v>
      </c>
      <c r="G15" s="5">
        <v>260425041</v>
      </c>
      <c r="H15" s="5">
        <v>243263707</v>
      </c>
      <c r="I15" s="5">
        <v>275049997</v>
      </c>
      <c r="J15" s="5">
        <v>288385813</v>
      </c>
      <c r="K15" s="5">
        <v>263217329</v>
      </c>
      <c r="L15" s="5">
        <v>260176287</v>
      </c>
      <c r="M15" s="5">
        <v>286865055</v>
      </c>
      <c r="N15" s="5">
        <v>3126759568</v>
      </c>
    </row>
    <row r="16" spans="1:14" ht="15" x14ac:dyDescent="0.2">
      <c r="A16" s="4" t="s">
        <v>26</v>
      </c>
      <c r="B16" s="5">
        <v>14599448</v>
      </c>
      <c r="C16" s="5">
        <v>14460776</v>
      </c>
      <c r="D16" s="5">
        <v>13781964</v>
      </c>
      <c r="E16" s="5">
        <v>12916915</v>
      </c>
      <c r="F16" s="5">
        <v>13231612</v>
      </c>
      <c r="G16" s="5">
        <v>13418029</v>
      </c>
      <c r="H16" s="5">
        <v>12615789</v>
      </c>
      <c r="I16" s="5">
        <v>13409524</v>
      </c>
      <c r="J16" s="5">
        <v>13258274</v>
      </c>
      <c r="K16" s="5">
        <v>13589919</v>
      </c>
      <c r="L16" s="5">
        <v>14597680</v>
      </c>
      <c r="M16" s="5">
        <v>15064527</v>
      </c>
      <c r="N16" s="5">
        <v>164944457</v>
      </c>
    </row>
    <row r="17" spans="1:14" ht="15" x14ac:dyDescent="0.2">
      <c r="A17" s="4" t="s">
        <v>27</v>
      </c>
      <c r="B17" s="5">
        <v>9362243</v>
      </c>
      <c r="C17" s="5">
        <v>2714740</v>
      </c>
      <c r="D17" s="5">
        <v>2400873</v>
      </c>
      <c r="E17" s="5">
        <v>2549681</v>
      </c>
      <c r="F17" s="5">
        <v>3565681</v>
      </c>
      <c r="G17" s="5">
        <v>2845313</v>
      </c>
      <c r="H17" s="5">
        <v>3469999</v>
      </c>
      <c r="I17" s="5">
        <v>2859030</v>
      </c>
      <c r="J17" s="5">
        <v>2778541</v>
      </c>
      <c r="K17" s="5">
        <v>3367756</v>
      </c>
      <c r="L17" s="5">
        <v>4056919</v>
      </c>
      <c r="M17" s="5">
        <v>2919989</v>
      </c>
      <c r="N17" s="5">
        <v>42890765</v>
      </c>
    </row>
    <row r="18" spans="1:14" ht="15" x14ac:dyDescent="0.2">
      <c r="A18" s="4" t="s">
        <v>28</v>
      </c>
      <c r="B18" s="5">
        <v>2177563944</v>
      </c>
      <c r="C18" s="5">
        <v>2311477707</v>
      </c>
      <c r="D18" s="5">
        <v>2494229740</v>
      </c>
      <c r="E18" s="5">
        <v>2448539159</v>
      </c>
      <c r="F18" s="5">
        <v>2446766514</v>
      </c>
      <c r="G18" s="5">
        <v>2422379198</v>
      </c>
      <c r="H18" s="5">
        <v>2236514083</v>
      </c>
      <c r="I18" s="5">
        <v>2415299110</v>
      </c>
      <c r="J18" s="5">
        <v>2525268844</v>
      </c>
      <c r="K18" s="5">
        <v>2427142214</v>
      </c>
      <c r="L18" s="5">
        <v>2557531399</v>
      </c>
      <c r="M18" s="5">
        <v>2477290117</v>
      </c>
      <c r="N18" s="5">
        <v>28940002029</v>
      </c>
    </row>
    <row r="19" spans="1:14" ht="15" x14ac:dyDescent="0.2">
      <c r="A19" s="14" t="s">
        <v>52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ht="15" x14ac:dyDescent="0.2">
      <c r="A20" s="11" t="s">
        <v>50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</sheetData>
  <mergeCells count="3">
    <mergeCell ref="A1:N1"/>
    <mergeCell ref="A19:N19"/>
    <mergeCell ref="A20:N20"/>
  </mergeCells>
  <hyperlinks>
    <hyperlink ref="A19:N19" location="'Table of Contents'!A16" display="Back to Table of Contents" xr:uid="{52957CC0-1A49-4C6B-BA8A-776ADA4C577C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108EB-57E3-43D4-ADF4-5BAEBBB83B01}">
  <sheetPr codeName="Sheet16"/>
  <dimension ref="A1:N20"/>
  <sheetViews>
    <sheetView workbookViewId="0">
      <selection sqref="A1:N1"/>
    </sheetView>
  </sheetViews>
  <sheetFormatPr defaultColWidth="0" defaultRowHeight="0" customHeight="1" zeroHeight="1" x14ac:dyDescent="0.2"/>
  <cols>
    <col min="1" max="1" width="27.7109375" style="4" customWidth="1"/>
    <col min="2" max="2" width="16.140625" style="4" customWidth="1"/>
    <col min="3" max="3" width="15.5703125" style="4" customWidth="1"/>
    <col min="4" max="5" width="16" style="4" bestFit="1" customWidth="1"/>
    <col min="6" max="6" width="15.5703125" style="4" customWidth="1"/>
    <col min="7" max="13" width="16" style="4" bestFit="1" customWidth="1"/>
    <col min="14" max="14" width="17.28515625" style="4" bestFit="1" customWidth="1"/>
    <col min="15" max="16384" width="8.85546875" style="2" hidden="1"/>
  </cols>
  <sheetData>
    <row r="1" spans="1:14" s="10" customFormat="1" ht="18" x14ac:dyDescent="0.25">
      <c r="A1" s="13" t="s">
        <v>58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5.75" x14ac:dyDescent="0.25">
      <c r="A2" s="1" t="s">
        <v>53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</row>
    <row r="3" spans="1:14" ht="15" x14ac:dyDescent="0.2">
      <c r="A3" s="4" t="s">
        <v>13</v>
      </c>
      <c r="B3" s="5">
        <v>1075381</v>
      </c>
      <c r="C3" s="5">
        <v>1319306</v>
      </c>
      <c r="D3" s="5">
        <v>1241085</v>
      </c>
      <c r="E3" s="5">
        <v>1078021</v>
      </c>
      <c r="F3" s="5">
        <v>1541179</v>
      </c>
      <c r="G3" s="5">
        <v>960141</v>
      </c>
      <c r="H3" s="5">
        <v>948353</v>
      </c>
      <c r="I3" s="5">
        <v>1810851</v>
      </c>
      <c r="J3" s="5">
        <v>1862051</v>
      </c>
      <c r="K3" s="5">
        <v>1782569</v>
      </c>
      <c r="L3" s="5">
        <v>1903411</v>
      </c>
      <c r="M3" s="5">
        <v>1188480</v>
      </c>
      <c r="N3" s="5">
        <v>16710828</v>
      </c>
    </row>
    <row r="4" spans="1:14" ht="15" x14ac:dyDescent="0.2">
      <c r="A4" s="4" t="s">
        <v>14</v>
      </c>
      <c r="B4" s="5">
        <v>94069179</v>
      </c>
      <c r="C4" s="5">
        <v>79141024</v>
      </c>
      <c r="D4" s="5">
        <v>115681078</v>
      </c>
      <c r="E4" s="5">
        <v>102825313</v>
      </c>
      <c r="F4" s="5">
        <v>103307361</v>
      </c>
      <c r="G4" s="5">
        <v>139205909</v>
      </c>
      <c r="H4" s="5">
        <v>97170821</v>
      </c>
      <c r="I4" s="5">
        <v>118881238</v>
      </c>
      <c r="J4" s="5">
        <v>98164677</v>
      </c>
      <c r="K4" s="5">
        <v>150062541</v>
      </c>
      <c r="L4" s="5">
        <v>150686000</v>
      </c>
      <c r="M4" s="5">
        <v>151795893</v>
      </c>
      <c r="N4" s="5">
        <v>1400991034</v>
      </c>
    </row>
    <row r="5" spans="1:14" ht="15" x14ac:dyDescent="0.2">
      <c r="A5" s="4" t="s">
        <v>15</v>
      </c>
      <c r="B5" s="5">
        <v>51281096</v>
      </c>
      <c r="C5" s="5">
        <v>47334122</v>
      </c>
      <c r="D5" s="5">
        <v>74814377</v>
      </c>
      <c r="E5" s="5">
        <v>36116974</v>
      </c>
      <c r="F5" s="5">
        <v>49166415</v>
      </c>
      <c r="G5" s="5">
        <v>77281754</v>
      </c>
      <c r="H5" s="5">
        <v>43675432</v>
      </c>
      <c r="I5" s="5">
        <v>50508134</v>
      </c>
      <c r="J5" s="5">
        <v>75734092</v>
      </c>
      <c r="K5" s="5">
        <v>43659740</v>
      </c>
      <c r="L5" s="5">
        <v>48592920</v>
      </c>
      <c r="M5" s="5">
        <v>72374992</v>
      </c>
      <c r="N5" s="5">
        <v>670540048</v>
      </c>
    </row>
    <row r="6" spans="1:14" ht="15" x14ac:dyDescent="0.2">
      <c r="A6" s="4" t="s">
        <v>16</v>
      </c>
      <c r="B6" s="5">
        <v>107280747</v>
      </c>
      <c r="C6" s="5">
        <v>120386024</v>
      </c>
      <c r="D6" s="5">
        <v>119951053</v>
      </c>
      <c r="E6" s="5">
        <v>112275482</v>
      </c>
      <c r="F6" s="5">
        <v>130566865</v>
      </c>
      <c r="G6" s="5">
        <v>116059165</v>
      </c>
      <c r="H6" s="5">
        <v>103774205</v>
      </c>
      <c r="I6" s="5">
        <v>123556285</v>
      </c>
      <c r="J6" s="5">
        <v>121973231</v>
      </c>
      <c r="K6" s="5">
        <v>121601959</v>
      </c>
      <c r="L6" s="5">
        <v>128240472</v>
      </c>
      <c r="M6" s="5">
        <v>121110834</v>
      </c>
      <c r="N6" s="5">
        <v>1426776322</v>
      </c>
    </row>
    <row r="7" spans="1:14" ht="15" x14ac:dyDescent="0.2">
      <c r="A7" s="4" t="s">
        <v>17</v>
      </c>
      <c r="B7" s="5">
        <v>207596845</v>
      </c>
      <c r="C7" s="5">
        <v>210096825</v>
      </c>
      <c r="D7" s="5">
        <v>231368134</v>
      </c>
      <c r="E7" s="5">
        <v>232057650</v>
      </c>
      <c r="F7" s="5">
        <v>229443922</v>
      </c>
      <c r="G7" s="5">
        <v>229283182</v>
      </c>
      <c r="H7" s="5">
        <v>199240725</v>
      </c>
      <c r="I7" s="5">
        <v>250935024</v>
      </c>
      <c r="J7" s="5">
        <v>248773412</v>
      </c>
      <c r="K7" s="5">
        <v>233082877</v>
      </c>
      <c r="L7" s="5">
        <v>236395069</v>
      </c>
      <c r="M7" s="5">
        <v>235516799</v>
      </c>
      <c r="N7" s="5">
        <v>2743790464</v>
      </c>
    </row>
    <row r="8" spans="1:14" ht="15" x14ac:dyDescent="0.2">
      <c r="A8" s="4" t="s">
        <v>18</v>
      </c>
      <c r="B8" s="5">
        <v>201544207</v>
      </c>
      <c r="C8" s="5">
        <v>213235197</v>
      </c>
      <c r="D8" s="5">
        <v>219069173</v>
      </c>
      <c r="E8" s="5">
        <v>205037511</v>
      </c>
      <c r="F8" s="5">
        <v>224809852</v>
      </c>
      <c r="G8" s="5">
        <v>223598792</v>
      </c>
      <c r="H8" s="5">
        <v>203772955</v>
      </c>
      <c r="I8" s="5">
        <v>233216582</v>
      </c>
      <c r="J8" s="5">
        <v>238258042</v>
      </c>
      <c r="K8" s="5">
        <v>249437933</v>
      </c>
      <c r="L8" s="5">
        <v>251116737</v>
      </c>
      <c r="M8" s="5">
        <v>246812425</v>
      </c>
      <c r="N8" s="5">
        <v>2709909406</v>
      </c>
    </row>
    <row r="9" spans="1:14" ht="15" x14ac:dyDescent="0.2">
      <c r="A9" s="4" t="s">
        <v>19</v>
      </c>
      <c r="B9" s="5">
        <v>858777359</v>
      </c>
      <c r="C9" s="5">
        <v>856818548</v>
      </c>
      <c r="D9" s="5">
        <v>1074128726</v>
      </c>
      <c r="E9" s="5">
        <v>1152673841</v>
      </c>
      <c r="F9" s="5">
        <v>954148061</v>
      </c>
      <c r="G9" s="5">
        <v>912030923</v>
      </c>
      <c r="H9" s="5">
        <v>905654632</v>
      </c>
      <c r="I9" s="5">
        <v>1002957826</v>
      </c>
      <c r="J9" s="5">
        <v>997233368</v>
      </c>
      <c r="K9" s="5">
        <v>995210904</v>
      </c>
      <c r="L9" s="5">
        <v>934831457</v>
      </c>
      <c r="M9" s="5">
        <v>1045992435</v>
      </c>
      <c r="N9" s="5">
        <v>11690458080</v>
      </c>
    </row>
    <row r="10" spans="1:14" ht="15" x14ac:dyDescent="0.2">
      <c r="A10" s="4" t="s">
        <v>20</v>
      </c>
      <c r="B10" s="5">
        <v>24390645</v>
      </c>
      <c r="C10" s="5">
        <v>26578378</v>
      </c>
      <c r="D10" s="5">
        <v>26281598</v>
      </c>
      <c r="E10" s="5">
        <v>23980860</v>
      </c>
      <c r="F10" s="5">
        <v>28620326</v>
      </c>
      <c r="G10" s="5">
        <v>20052566</v>
      </c>
      <c r="H10" s="5">
        <v>18467391</v>
      </c>
      <c r="I10" s="5">
        <v>23035331</v>
      </c>
      <c r="J10" s="5">
        <v>20542302</v>
      </c>
      <c r="K10" s="5">
        <v>26772003</v>
      </c>
      <c r="L10" s="5">
        <v>32461557</v>
      </c>
      <c r="M10" s="5">
        <v>25207087</v>
      </c>
      <c r="N10" s="5">
        <v>296390044</v>
      </c>
    </row>
    <row r="11" spans="1:14" ht="15" x14ac:dyDescent="0.2">
      <c r="A11" s="4" t="s">
        <v>21</v>
      </c>
      <c r="B11" s="5">
        <v>226267349</v>
      </c>
      <c r="C11" s="5">
        <v>236786844</v>
      </c>
      <c r="D11" s="5">
        <v>238441393</v>
      </c>
      <c r="E11" s="5">
        <v>261758302</v>
      </c>
      <c r="F11" s="5">
        <v>262129906</v>
      </c>
      <c r="G11" s="5">
        <v>236490148</v>
      </c>
      <c r="H11" s="5">
        <v>238068222</v>
      </c>
      <c r="I11" s="5">
        <v>244176545</v>
      </c>
      <c r="J11" s="5">
        <v>259727661</v>
      </c>
      <c r="K11" s="5">
        <v>251180389</v>
      </c>
      <c r="L11" s="5">
        <v>259616399</v>
      </c>
      <c r="M11" s="5">
        <v>266285457</v>
      </c>
      <c r="N11" s="5">
        <v>2980928615</v>
      </c>
    </row>
    <row r="12" spans="1:14" ht="15" x14ac:dyDescent="0.2">
      <c r="A12" s="4" t="s">
        <v>22</v>
      </c>
      <c r="B12" s="5">
        <v>20298381</v>
      </c>
      <c r="C12" s="5">
        <v>26845935</v>
      </c>
      <c r="D12" s="5">
        <v>31435686</v>
      </c>
      <c r="E12" s="5">
        <v>27363383</v>
      </c>
      <c r="F12" s="5">
        <v>30178204</v>
      </c>
      <c r="G12" s="5">
        <v>27356571</v>
      </c>
      <c r="H12" s="5">
        <v>22119359</v>
      </c>
      <c r="I12" s="5">
        <v>22259754</v>
      </c>
      <c r="J12" s="5">
        <v>22318244</v>
      </c>
      <c r="K12" s="5">
        <v>34251346</v>
      </c>
      <c r="L12" s="5">
        <v>24093396</v>
      </c>
      <c r="M12" s="5">
        <v>25850096</v>
      </c>
      <c r="N12" s="5">
        <v>314370355</v>
      </c>
    </row>
    <row r="13" spans="1:14" ht="15" x14ac:dyDescent="0.2">
      <c r="A13" s="4" t="s">
        <v>23</v>
      </c>
      <c r="B13" s="5">
        <v>63819246</v>
      </c>
      <c r="C13" s="5">
        <v>81585539</v>
      </c>
      <c r="D13" s="5">
        <v>78484508</v>
      </c>
      <c r="E13" s="5">
        <v>71874031</v>
      </c>
      <c r="F13" s="5">
        <v>80983968</v>
      </c>
      <c r="G13" s="5">
        <v>75310059</v>
      </c>
      <c r="H13" s="5">
        <v>77859352</v>
      </c>
      <c r="I13" s="5">
        <v>81539383</v>
      </c>
      <c r="J13" s="5">
        <v>81632510</v>
      </c>
      <c r="K13" s="5">
        <v>79397282</v>
      </c>
      <c r="L13" s="5">
        <v>80668382</v>
      </c>
      <c r="M13" s="5">
        <v>84229515</v>
      </c>
      <c r="N13" s="5">
        <v>937383775</v>
      </c>
    </row>
    <row r="14" spans="1:14" ht="15" x14ac:dyDescent="0.2">
      <c r="A14" s="4" t="s">
        <v>24</v>
      </c>
      <c r="B14" s="5">
        <v>237442939</v>
      </c>
      <c r="C14" s="5">
        <v>270668524</v>
      </c>
      <c r="D14" s="5">
        <v>263032159</v>
      </c>
      <c r="E14" s="5">
        <v>239942243</v>
      </c>
      <c r="F14" s="5">
        <v>286770497</v>
      </c>
      <c r="G14" s="5">
        <v>259978293</v>
      </c>
      <c r="H14" s="5">
        <v>234632335</v>
      </c>
      <c r="I14" s="5">
        <v>290891481</v>
      </c>
      <c r="J14" s="5">
        <v>265284144</v>
      </c>
      <c r="K14" s="5">
        <v>269141706</v>
      </c>
      <c r="L14" s="5">
        <v>291546354</v>
      </c>
      <c r="M14" s="5">
        <v>275435278</v>
      </c>
      <c r="N14" s="5">
        <v>3184765953</v>
      </c>
    </row>
    <row r="15" spans="1:14" ht="15" x14ac:dyDescent="0.2">
      <c r="A15" s="4" t="s">
        <v>25</v>
      </c>
      <c r="B15" s="5">
        <v>244187870</v>
      </c>
      <c r="C15" s="5">
        <v>255027322</v>
      </c>
      <c r="D15" s="5">
        <v>288958667</v>
      </c>
      <c r="E15" s="5">
        <v>250980983</v>
      </c>
      <c r="F15" s="5">
        <v>270690751</v>
      </c>
      <c r="G15" s="5">
        <v>272247608</v>
      </c>
      <c r="H15" s="5">
        <v>255327094</v>
      </c>
      <c r="I15" s="5">
        <v>297576149</v>
      </c>
      <c r="J15" s="5">
        <v>304861018</v>
      </c>
      <c r="K15" s="5">
        <v>277299346</v>
      </c>
      <c r="L15" s="5">
        <v>279385350</v>
      </c>
      <c r="M15" s="5">
        <v>298017098</v>
      </c>
      <c r="N15" s="5">
        <v>3294559256</v>
      </c>
    </row>
    <row r="16" spans="1:14" ht="15" x14ac:dyDescent="0.2">
      <c r="A16" s="4" t="s">
        <v>26</v>
      </c>
      <c r="B16" s="5">
        <v>14672608</v>
      </c>
      <c r="C16" s="5">
        <v>14391894</v>
      </c>
      <c r="D16" s="5">
        <v>13596785</v>
      </c>
      <c r="E16" s="5">
        <v>14043515</v>
      </c>
      <c r="F16" s="5">
        <v>13226616</v>
      </c>
      <c r="G16" s="5">
        <v>14076445</v>
      </c>
      <c r="H16" s="5">
        <v>13318130</v>
      </c>
      <c r="I16" s="5">
        <v>13996683</v>
      </c>
      <c r="J16" s="5">
        <v>14064153</v>
      </c>
      <c r="K16" s="5">
        <v>13801914</v>
      </c>
      <c r="L16" s="5">
        <v>15269672</v>
      </c>
      <c r="M16" s="5">
        <v>15682593</v>
      </c>
      <c r="N16" s="5">
        <v>170141008</v>
      </c>
    </row>
    <row r="17" spans="1:14" ht="15" x14ac:dyDescent="0.2">
      <c r="A17" s="4" t="s">
        <v>27</v>
      </c>
      <c r="B17" s="5">
        <v>3111836</v>
      </c>
      <c r="C17" s="5">
        <v>6536580</v>
      </c>
      <c r="D17" s="5">
        <v>3949306</v>
      </c>
      <c r="E17" s="5">
        <v>4134640</v>
      </c>
      <c r="F17" s="5">
        <v>5337955</v>
      </c>
      <c r="G17" s="5">
        <v>5375319</v>
      </c>
      <c r="H17" s="5">
        <v>4151629</v>
      </c>
      <c r="I17" s="5">
        <v>3193140</v>
      </c>
      <c r="J17" s="5">
        <v>5047698</v>
      </c>
      <c r="K17" s="5">
        <v>7172142</v>
      </c>
      <c r="L17" s="5">
        <v>6197757</v>
      </c>
      <c r="M17" s="5">
        <v>6187785</v>
      </c>
      <c r="N17" s="5">
        <v>60395787</v>
      </c>
    </row>
    <row r="18" spans="1:14" ht="15" x14ac:dyDescent="0.2">
      <c r="A18" s="4" t="s">
        <v>28</v>
      </c>
      <c r="B18" s="5">
        <v>2355815688</v>
      </c>
      <c r="C18" s="5">
        <v>2446752062</v>
      </c>
      <c r="D18" s="5">
        <v>2780433728</v>
      </c>
      <c r="E18" s="5">
        <v>2736142749</v>
      </c>
      <c r="F18" s="5">
        <v>2670921878</v>
      </c>
      <c r="G18" s="5">
        <v>2609306875</v>
      </c>
      <c r="H18" s="5">
        <v>2418180635</v>
      </c>
      <c r="I18" s="5">
        <v>2758534406</v>
      </c>
      <c r="J18" s="5">
        <v>2755476603</v>
      </c>
      <c r="K18" s="5">
        <v>2753854651</v>
      </c>
      <c r="L18" s="5">
        <v>2741004933</v>
      </c>
      <c r="M18" s="5">
        <v>2871686767</v>
      </c>
      <c r="N18" s="5">
        <v>31898110975</v>
      </c>
    </row>
    <row r="19" spans="1:14" ht="15" x14ac:dyDescent="0.2">
      <c r="A19" s="14" t="s">
        <v>52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ht="15" x14ac:dyDescent="0.2">
      <c r="A20" s="11" t="s">
        <v>50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</sheetData>
  <mergeCells count="3">
    <mergeCell ref="A1:N1"/>
    <mergeCell ref="A19:N19"/>
    <mergeCell ref="A20:N20"/>
  </mergeCells>
  <hyperlinks>
    <hyperlink ref="A19:N19" location="'Table of Contents'!A17" display="Back to Table of Contents" xr:uid="{CA934243-596E-4253-8D2A-3A695A184D61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DD4E3-FD7C-445C-8B7A-BF523BC40E8D}">
  <sheetPr codeName="Sheet17"/>
  <dimension ref="A1:N20"/>
  <sheetViews>
    <sheetView workbookViewId="0">
      <selection sqref="A1:N1"/>
    </sheetView>
  </sheetViews>
  <sheetFormatPr defaultColWidth="0" defaultRowHeight="0" customHeight="1" zeroHeight="1" x14ac:dyDescent="0.2"/>
  <cols>
    <col min="1" max="1" width="27.7109375" style="2" customWidth="1"/>
    <col min="2" max="2" width="16.140625" style="2" customWidth="1"/>
    <col min="3" max="3" width="15.5703125" style="2" customWidth="1"/>
    <col min="4" max="5" width="16" style="2" bestFit="1" customWidth="1"/>
    <col min="6" max="6" width="15.5703125" style="2" customWidth="1"/>
    <col min="7" max="13" width="16" style="2" bestFit="1" customWidth="1"/>
    <col min="14" max="14" width="17.28515625" style="2" bestFit="1" customWidth="1"/>
    <col min="15" max="16384" width="8.85546875" style="2" hidden="1"/>
  </cols>
  <sheetData>
    <row r="1" spans="1:14" s="10" customFormat="1" ht="18" x14ac:dyDescent="0.25">
      <c r="A1" s="13" t="s">
        <v>57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5.75" x14ac:dyDescent="0.25">
      <c r="A2" s="1" t="s">
        <v>53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</row>
    <row r="3" spans="1:14" ht="15" x14ac:dyDescent="0.2">
      <c r="A3" s="4" t="s">
        <v>13</v>
      </c>
      <c r="B3" s="5">
        <v>1297841</v>
      </c>
      <c r="C3" s="5">
        <v>1592776</v>
      </c>
      <c r="D3" s="5">
        <v>1434754</v>
      </c>
      <c r="E3" s="5">
        <v>1791417</v>
      </c>
      <c r="F3" s="5">
        <v>1804121</v>
      </c>
      <c r="G3" s="5">
        <v>1020356</v>
      </c>
      <c r="H3" s="5">
        <v>1148620</v>
      </c>
      <c r="I3" s="5">
        <v>1819251</v>
      </c>
      <c r="J3" s="5">
        <v>2694055</v>
      </c>
      <c r="K3" s="5">
        <v>1728097</v>
      </c>
      <c r="L3" s="5">
        <v>1663712</v>
      </c>
      <c r="M3" s="5">
        <v>1099429</v>
      </c>
      <c r="N3" s="5">
        <v>19094429</v>
      </c>
    </row>
    <row r="4" spans="1:14" ht="15" x14ac:dyDescent="0.2">
      <c r="A4" s="4" t="s">
        <v>14</v>
      </c>
      <c r="B4" s="5">
        <v>155946953</v>
      </c>
      <c r="C4" s="5">
        <v>122155494</v>
      </c>
      <c r="D4" s="5">
        <v>147176093</v>
      </c>
      <c r="E4" s="5">
        <v>135452243</v>
      </c>
      <c r="F4" s="5">
        <v>162276336</v>
      </c>
      <c r="G4" s="5">
        <v>132993336</v>
      </c>
      <c r="H4" s="5">
        <v>145993764</v>
      </c>
      <c r="I4" s="5">
        <v>131415586</v>
      </c>
      <c r="J4" s="5">
        <v>134107613</v>
      </c>
      <c r="K4" s="5">
        <v>157700249</v>
      </c>
      <c r="L4" s="5">
        <v>149165711</v>
      </c>
      <c r="M4" s="5">
        <v>150318655</v>
      </c>
      <c r="N4" s="5">
        <v>1724702033</v>
      </c>
    </row>
    <row r="5" spans="1:14" ht="15" x14ac:dyDescent="0.2">
      <c r="A5" s="4" t="s">
        <v>15</v>
      </c>
      <c r="B5" s="5">
        <v>52523045</v>
      </c>
      <c r="C5" s="5">
        <v>63585143</v>
      </c>
      <c r="D5" s="5">
        <v>74349754</v>
      </c>
      <c r="E5" s="5">
        <v>36496453</v>
      </c>
      <c r="F5" s="5">
        <v>54998380</v>
      </c>
      <c r="G5" s="5">
        <v>69222317</v>
      </c>
      <c r="H5" s="5">
        <v>42839250</v>
      </c>
      <c r="I5" s="5">
        <v>36655023</v>
      </c>
      <c r="J5" s="5">
        <v>79052027</v>
      </c>
      <c r="K5" s="5">
        <v>52139624</v>
      </c>
      <c r="L5" s="5">
        <v>49433299</v>
      </c>
      <c r="M5" s="5">
        <v>94572038</v>
      </c>
      <c r="N5" s="5">
        <v>705866353</v>
      </c>
    </row>
    <row r="6" spans="1:14" ht="15" x14ac:dyDescent="0.2">
      <c r="A6" s="4" t="s">
        <v>16</v>
      </c>
      <c r="B6" s="5">
        <v>127762518</v>
      </c>
      <c r="C6" s="5">
        <v>128973042</v>
      </c>
      <c r="D6" s="5">
        <v>124935242</v>
      </c>
      <c r="E6" s="5">
        <v>120486944</v>
      </c>
      <c r="F6" s="5">
        <v>134945551</v>
      </c>
      <c r="G6" s="5">
        <v>125600064</v>
      </c>
      <c r="H6" s="5">
        <v>111056230</v>
      </c>
      <c r="I6" s="5">
        <v>135712718</v>
      </c>
      <c r="J6" s="5">
        <v>131882974</v>
      </c>
      <c r="K6" s="5">
        <v>135857815</v>
      </c>
      <c r="L6" s="5">
        <v>137176065</v>
      </c>
      <c r="M6" s="5">
        <v>139142037</v>
      </c>
      <c r="N6" s="5">
        <v>1553531200</v>
      </c>
    </row>
    <row r="7" spans="1:14" ht="15" x14ac:dyDescent="0.2">
      <c r="A7" s="4" t="s">
        <v>17</v>
      </c>
      <c r="B7" s="5">
        <v>244228473</v>
      </c>
      <c r="C7" s="5">
        <v>219993238</v>
      </c>
      <c r="D7" s="5">
        <v>269654600</v>
      </c>
      <c r="E7" s="5">
        <v>217006112</v>
      </c>
      <c r="F7" s="5">
        <v>255952019</v>
      </c>
      <c r="G7" s="5">
        <v>270075663</v>
      </c>
      <c r="H7" s="5">
        <v>216705714</v>
      </c>
      <c r="I7" s="5">
        <v>254083812</v>
      </c>
      <c r="J7" s="5">
        <v>272872317</v>
      </c>
      <c r="K7" s="5">
        <v>229986971</v>
      </c>
      <c r="L7" s="5">
        <v>238409140</v>
      </c>
      <c r="M7" s="5">
        <v>264417903</v>
      </c>
      <c r="N7" s="5">
        <v>2953385962</v>
      </c>
    </row>
    <row r="8" spans="1:14" ht="15" x14ac:dyDescent="0.2">
      <c r="A8" s="4" t="s">
        <v>18</v>
      </c>
      <c r="B8" s="5">
        <v>249621162</v>
      </c>
      <c r="C8" s="5">
        <v>241027529</v>
      </c>
      <c r="D8" s="5">
        <v>252212056</v>
      </c>
      <c r="E8" s="5">
        <v>225941187</v>
      </c>
      <c r="F8" s="5">
        <v>250307078</v>
      </c>
      <c r="G8" s="5">
        <v>229794756</v>
      </c>
      <c r="H8" s="5">
        <v>222704493</v>
      </c>
      <c r="I8" s="5">
        <v>253336851</v>
      </c>
      <c r="J8" s="5">
        <v>266761363</v>
      </c>
      <c r="K8" s="5">
        <v>249029928</v>
      </c>
      <c r="L8" s="5">
        <v>258927039</v>
      </c>
      <c r="M8" s="5">
        <v>263887410</v>
      </c>
      <c r="N8" s="5">
        <v>2963550852</v>
      </c>
    </row>
    <row r="9" spans="1:14" ht="15" x14ac:dyDescent="0.2">
      <c r="A9" s="4" t="s">
        <v>19</v>
      </c>
      <c r="B9" s="5">
        <v>912003189</v>
      </c>
      <c r="C9" s="5">
        <v>890594712</v>
      </c>
      <c r="D9" s="5">
        <v>1096836281</v>
      </c>
      <c r="E9" s="5">
        <v>1194381490</v>
      </c>
      <c r="F9" s="5">
        <v>946846554</v>
      </c>
      <c r="G9" s="5">
        <v>922772243</v>
      </c>
      <c r="H9" s="5">
        <v>951911631</v>
      </c>
      <c r="I9" s="5">
        <v>927435121</v>
      </c>
      <c r="J9" s="5">
        <v>1091664837</v>
      </c>
      <c r="K9" s="5">
        <v>1004514200</v>
      </c>
      <c r="L9" s="5">
        <v>977997550</v>
      </c>
      <c r="M9" s="5">
        <v>1051584076</v>
      </c>
      <c r="N9" s="5">
        <v>11968541884</v>
      </c>
    </row>
    <row r="10" spans="1:14" ht="15" x14ac:dyDescent="0.2">
      <c r="A10" s="4" t="s">
        <v>20</v>
      </c>
      <c r="B10" s="5">
        <v>29603712</v>
      </c>
      <c r="C10" s="5">
        <v>29050706</v>
      </c>
      <c r="D10" s="5">
        <v>24030656</v>
      </c>
      <c r="E10" s="5">
        <v>24201297</v>
      </c>
      <c r="F10" s="5">
        <v>56255143</v>
      </c>
      <c r="G10" s="5">
        <v>37131944</v>
      </c>
      <c r="H10" s="5">
        <v>29355793</v>
      </c>
      <c r="I10" s="5">
        <v>37061097</v>
      </c>
      <c r="J10" s="5">
        <v>33010844</v>
      </c>
      <c r="K10" s="5">
        <v>35559123</v>
      </c>
      <c r="L10" s="5">
        <v>27820797</v>
      </c>
      <c r="M10" s="5">
        <v>25472852</v>
      </c>
      <c r="N10" s="5">
        <v>388553964</v>
      </c>
    </row>
    <row r="11" spans="1:14" ht="15" x14ac:dyDescent="0.2">
      <c r="A11" s="4" t="s">
        <v>21</v>
      </c>
      <c r="B11" s="5">
        <v>246724481</v>
      </c>
      <c r="C11" s="5">
        <v>250033361</v>
      </c>
      <c r="D11" s="5">
        <v>276883965</v>
      </c>
      <c r="E11" s="5">
        <v>270826960</v>
      </c>
      <c r="F11" s="5">
        <v>264098920</v>
      </c>
      <c r="G11" s="5">
        <v>265777200</v>
      </c>
      <c r="H11" s="5">
        <v>271843876</v>
      </c>
      <c r="I11" s="5">
        <v>238514340</v>
      </c>
      <c r="J11" s="5">
        <v>260156518</v>
      </c>
      <c r="K11" s="5">
        <v>257643062</v>
      </c>
      <c r="L11" s="5">
        <v>267014359</v>
      </c>
      <c r="M11" s="5">
        <v>236235169</v>
      </c>
      <c r="N11" s="5">
        <v>3105752211</v>
      </c>
    </row>
    <row r="12" spans="1:14" ht="15" x14ac:dyDescent="0.2">
      <c r="A12" s="4" t="s">
        <v>22</v>
      </c>
      <c r="B12" s="5">
        <v>24960859</v>
      </c>
      <c r="C12" s="5">
        <v>20777161</v>
      </c>
      <c r="D12" s="5">
        <v>25432735</v>
      </c>
      <c r="E12" s="5">
        <v>20740471</v>
      </c>
      <c r="F12" s="5">
        <v>27657881</v>
      </c>
      <c r="G12" s="5">
        <v>22147049</v>
      </c>
      <c r="H12" s="5">
        <v>21547094</v>
      </c>
      <c r="I12" s="5">
        <v>24543444</v>
      </c>
      <c r="J12" s="5">
        <v>26122158</v>
      </c>
      <c r="K12" s="5">
        <v>21228469</v>
      </c>
      <c r="L12" s="5">
        <v>23600714</v>
      </c>
      <c r="M12" s="5">
        <v>24170284</v>
      </c>
      <c r="N12" s="5">
        <v>282928319</v>
      </c>
    </row>
    <row r="13" spans="1:14" ht="15" x14ac:dyDescent="0.2">
      <c r="A13" s="4" t="s">
        <v>23</v>
      </c>
      <c r="B13" s="5">
        <v>82125564</v>
      </c>
      <c r="C13" s="5">
        <v>83698649</v>
      </c>
      <c r="D13" s="5">
        <v>91229985</v>
      </c>
      <c r="E13" s="5">
        <v>82140023</v>
      </c>
      <c r="F13" s="5">
        <v>92511292</v>
      </c>
      <c r="G13" s="5">
        <v>75164348</v>
      </c>
      <c r="H13" s="5">
        <v>83408467</v>
      </c>
      <c r="I13" s="5">
        <v>89605712</v>
      </c>
      <c r="J13" s="5">
        <v>91685301</v>
      </c>
      <c r="K13" s="5">
        <v>86927436</v>
      </c>
      <c r="L13" s="5">
        <v>95487915</v>
      </c>
      <c r="M13" s="5">
        <v>88532644</v>
      </c>
      <c r="N13" s="5">
        <v>1042517336</v>
      </c>
    </row>
    <row r="14" spans="1:14" ht="15" x14ac:dyDescent="0.2">
      <c r="A14" s="4" t="s">
        <v>24</v>
      </c>
      <c r="B14" s="5">
        <v>266301978</v>
      </c>
      <c r="C14" s="5">
        <v>281028291</v>
      </c>
      <c r="D14" s="5">
        <v>275085744</v>
      </c>
      <c r="E14" s="5">
        <v>247752142</v>
      </c>
      <c r="F14" s="5">
        <v>309362926</v>
      </c>
      <c r="G14" s="5">
        <v>287702245</v>
      </c>
      <c r="H14" s="5">
        <v>250827957</v>
      </c>
      <c r="I14" s="5">
        <v>313530259</v>
      </c>
      <c r="J14" s="5">
        <v>294741643</v>
      </c>
      <c r="K14" s="5">
        <v>283316838</v>
      </c>
      <c r="L14" s="5">
        <v>311592585</v>
      </c>
      <c r="M14" s="5">
        <v>295618016</v>
      </c>
      <c r="N14" s="5">
        <v>3416860624</v>
      </c>
    </row>
    <row r="15" spans="1:14" ht="15" x14ac:dyDescent="0.2">
      <c r="A15" s="4" t="s">
        <v>25</v>
      </c>
      <c r="B15" s="5">
        <v>271418920</v>
      </c>
      <c r="C15" s="5">
        <v>274790861</v>
      </c>
      <c r="D15" s="5">
        <v>295204391</v>
      </c>
      <c r="E15" s="5">
        <v>267374322</v>
      </c>
      <c r="F15" s="5">
        <v>285150673</v>
      </c>
      <c r="G15" s="5">
        <v>294138734</v>
      </c>
      <c r="H15" s="5">
        <v>270738656</v>
      </c>
      <c r="I15" s="5">
        <v>310502653</v>
      </c>
      <c r="J15" s="5">
        <v>318664829</v>
      </c>
      <c r="K15" s="5">
        <v>296782731</v>
      </c>
      <c r="L15" s="5">
        <v>294380637</v>
      </c>
      <c r="M15" s="5">
        <v>318363526</v>
      </c>
      <c r="N15" s="5">
        <v>3497510933</v>
      </c>
    </row>
    <row r="16" spans="1:14" ht="15" x14ac:dyDescent="0.2">
      <c r="A16" s="4" t="s">
        <v>26</v>
      </c>
      <c r="B16" s="5">
        <v>16058336</v>
      </c>
      <c r="C16" s="5">
        <v>14628261</v>
      </c>
      <c r="D16" s="5">
        <v>14871017</v>
      </c>
      <c r="E16" s="5">
        <v>13942784</v>
      </c>
      <c r="F16" s="5">
        <v>13874290</v>
      </c>
      <c r="G16" s="5">
        <v>14017840</v>
      </c>
      <c r="H16" s="5">
        <v>14390996</v>
      </c>
      <c r="I16" s="5">
        <v>14727019</v>
      </c>
      <c r="J16" s="5">
        <v>14654226</v>
      </c>
      <c r="K16" s="5">
        <v>14795583</v>
      </c>
      <c r="L16" s="5">
        <v>15460266</v>
      </c>
      <c r="M16" s="5">
        <v>16040284</v>
      </c>
      <c r="N16" s="5">
        <v>177460902</v>
      </c>
    </row>
    <row r="17" spans="1:14" ht="15" x14ac:dyDescent="0.2">
      <c r="A17" s="4" t="s">
        <v>27</v>
      </c>
      <c r="B17" s="5">
        <v>8746572</v>
      </c>
      <c r="C17" s="5">
        <v>10095401</v>
      </c>
      <c r="D17" s="5">
        <v>9156755</v>
      </c>
      <c r="E17" s="5">
        <v>6728979</v>
      </c>
      <c r="F17" s="5">
        <v>12826341</v>
      </c>
      <c r="G17" s="5">
        <v>10463768</v>
      </c>
      <c r="H17" s="5">
        <v>10881657</v>
      </c>
      <c r="I17" s="5">
        <v>15449046</v>
      </c>
      <c r="J17" s="5">
        <v>13380382</v>
      </c>
      <c r="K17" s="5">
        <v>11371787</v>
      </c>
      <c r="L17" s="5">
        <v>11280261</v>
      </c>
      <c r="M17" s="5">
        <v>11617504</v>
      </c>
      <c r="N17" s="5">
        <v>131998453</v>
      </c>
    </row>
    <row r="18" spans="1:14" ht="15" x14ac:dyDescent="0.2">
      <c r="A18" s="4" t="s">
        <v>28</v>
      </c>
      <c r="B18" s="5">
        <v>2689323603</v>
      </c>
      <c r="C18" s="5">
        <v>2632024625</v>
      </c>
      <c r="D18" s="5">
        <v>2978494028</v>
      </c>
      <c r="E18" s="5">
        <v>2865262824</v>
      </c>
      <c r="F18" s="5">
        <v>2868867505</v>
      </c>
      <c r="G18" s="5">
        <v>2758021863</v>
      </c>
      <c r="H18" s="5">
        <v>2645354198</v>
      </c>
      <c r="I18" s="5">
        <v>2784391932</v>
      </c>
      <c r="J18" s="5">
        <v>3031451087</v>
      </c>
      <c r="K18" s="5">
        <v>2838581913</v>
      </c>
      <c r="L18" s="5">
        <v>2859410050</v>
      </c>
      <c r="M18" s="5">
        <v>2981071827</v>
      </c>
      <c r="N18" s="5">
        <v>33932255455</v>
      </c>
    </row>
    <row r="19" spans="1:14" ht="15" x14ac:dyDescent="0.2">
      <c r="A19" s="14" t="s">
        <v>52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ht="15" x14ac:dyDescent="0.2">
      <c r="A20" s="11" t="s">
        <v>50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</sheetData>
  <mergeCells count="3">
    <mergeCell ref="A1:N1"/>
    <mergeCell ref="A19:N19"/>
    <mergeCell ref="A20:N20"/>
  </mergeCells>
  <hyperlinks>
    <hyperlink ref="A19:N19" location="'Table of Contents'!A18" display="Back to Table of Contents" xr:uid="{BBCEB9DD-E7C7-488E-97F7-A44784AAD94E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E9266-ABDD-41F2-AFD8-7BDD9C8DB4A6}">
  <sheetPr codeName="Sheet18"/>
  <dimension ref="A1:N20"/>
  <sheetViews>
    <sheetView workbookViewId="0">
      <selection sqref="A1:N1"/>
    </sheetView>
  </sheetViews>
  <sheetFormatPr defaultColWidth="0" defaultRowHeight="0" customHeight="1" zeroHeight="1" x14ac:dyDescent="0.2"/>
  <cols>
    <col min="1" max="1" width="27.7109375" style="4" customWidth="1"/>
    <col min="2" max="2" width="16.140625" style="4" customWidth="1"/>
    <col min="3" max="3" width="15.5703125" style="4" customWidth="1"/>
    <col min="4" max="5" width="16" style="4" bestFit="1" customWidth="1"/>
    <col min="6" max="6" width="15.5703125" style="4" customWidth="1"/>
    <col min="7" max="13" width="16" style="4" bestFit="1" customWidth="1"/>
    <col min="14" max="14" width="17.28515625" style="4" bestFit="1" customWidth="1"/>
    <col min="15" max="16384" width="8.85546875" style="2" hidden="1"/>
  </cols>
  <sheetData>
    <row r="1" spans="1:14" s="10" customFormat="1" ht="18" x14ac:dyDescent="0.25">
      <c r="A1" s="13" t="s">
        <v>56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5.75" x14ac:dyDescent="0.25">
      <c r="A2" s="1" t="s">
        <v>53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</row>
    <row r="3" spans="1:14" ht="15" x14ac:dyDescent="0.2">
      <c r="A3" s="4" t="s">
        <v>13</v>
      </c>
      <c r="B3" s="5">
        <v>1332304</v>
      </c>
      <c r="C3" s="5">
        <v>1568483</v>
      </c>
      <c r="D3" s="5">
        <v>1519251</v>
      </c>
      <c r="E3" s="5">
        <v>1417836</v>
      </c>
      <c r="F3" s="5">
        <v>1816165</v>
      </c>
      <c r="G3" s="5">
        <v>1131198</v>
      </c>
      <c r="H3" s="5">
        <v>1163824</v>
      </c>
      <c r="I3" s="5">
        <v>1939794</v>
      </c>
      <c r="J3" s="5">
        <v>2078090</v>
      </c>
      <c r="K3" s="5">
        <v>2203248</v>
      </c>
      <c r="L3" s="5">
        <v>2360615</v>
      </c>
      <c r="M3" s="5">
        <v>1352424</v>
      </c>
      <c r="N3" s="5">
        <v>19883232</v>
      </c>
    </row>
    <row r="4" spans="1:14" ht="15" x14ac:dyDescent="0.2">
      <c r="A4" s="4" t="s">
        <v>14</v>
      </c>
      <c r="B4" s="5">
        <v>138302043</v>
      </c>
      <c r="C4" s="5">
        <v>126340234</v>
      </c>
      <c r="D4" s="5">
        <v>130100479</v>
      </c>
      <c r="E4" s="5">
        <v>116891244</v>
      </c>
      <c r="F4" s="5">
        <v>106936307</v>
      </c>
      <c r="G4" s="5">
        <v>130415955</v>
      </c>
      <c r="H4" s="5">
        <v>113313512</v>
      </c>
      <c r="I4" s="5">
        <v>135844860</v>
      </c>
      <c r="J4" s="5">
        <v>66401813</v>
      </c>
      <c r="K4" s="5">
        <v>47692678</v>
      </c>
      <c r="L4" s="5">
        <v>65342084</v>
      </c>
      <c r="M4" s="5">
        <v>60428181</v>
      </c>
      <c r="N4" s="5">
        <v>1238009390</v>
      </c>
    </row>
    <row r="5" spans="1:14" ht="15" x14ac:dyDescent="0.2">
      <c r="A5" s="4" t="s">
        <v>15</v>
      </c>
      <c r="B5" s="5">
        <v>17505057</v>
      </c>
      <c r="C5" s="5">
        <v>57402512</v>
      </c>
      <c r="D5" s="5">
        <v>73880314</v>
      </c>
      <c r="E5" s="5">
        <v>40317141</v>
      </c>
      <c r="F5" s="5">
        <v>63714790</v>
      </c>
      <c r="G5" s="5">
        <v>79813900</v>
      </c>
      <c r="H5" s="5">
        <v>46408142</v>
      </c>
      <c r="I5" s="5">
        <v>51991505</v>
      </c>
      <c r="J5" s="5">
        <v>80256405</v>
      </c>
      <c r="K5" s="5">
        <v>50932062</v>
      </c>
      <c r="L5" s="5">
        <v>56075817</v>
      </c>
      <c r="M5" s="5">
        <v>77622489</v>
      </c>
      <c r="N5" s="5">
        <v>695920134</v>
      </c>
    </row>
    <row r="6" spans="1:14" ht="15" x14ac:dyDescent="0.2">
      <c r="A6" s="4" t="s">
        <v>16</v>
      </c>
      <c r="B6" s="5">
        <v>136416795</v>
      </c>
      <c r="C6" s="5">
        <v>147102197</v>
      </c>
      <c r="D6" s="5">
        <v>140721315</v>
      </c>
      <c r="E6" s="5">
        <v>127298982</v>
      </c>
      <c r="F6" s="5">
        <v>142593341</v>
      </c>
      <c r="G6" s="5">
        <v>126107442</v>
      </c>
      <c r="H6" s="5">
        <v>112998941</v>
      </c>
      <c r="I6" s="5">
        <v>129238169</v>
      </c>
      <c r="J6" s="5">
        <v>123493002</v>
      </c>
      <c r="K6" s="5">
        <v>113790191</v>
      </c>
      <c r="L6" s="5">
        <v>131211643</v>
      </c>
      <c r="M6" s="5">
        <v>118388023</v>
      </c>
      <c r="N6" s="5">
        <v>1549360041</v>
      </c>
    </row>
    <row r="7" spans="1:14" ht="15" x14ac:dyDescent="0.2">
      <c r="A7" s="4" t="s">
        <v>17</v>
      </c>
      <c r="B7" s="5">
        <v>232610776</v>
      </c>
      <c r="C7" s="5">
        <v>228888295</v>
      </c>
      <c r="D7" s="5">
        <v>270446982</v>
      </c>
      <c r="E7" s="5">
        <v>222762110</v>
      </c>
      <c r="F7" s="5">
        <v>267815719</v>
      </c>
      <c r="G7" s="5">
        <v>263157998</v>
      </c>
      <c r="H7" s="5">
        <v>214500199</v>
      </c>
      <c r="I7" s="5">
        <v>227817613</v>
      </c>
      <c r="J7" s="5">
        <v>229696112</v>
      </c>
      <c r="K7" s="5">
        <v>182320009</v>
      </c>
      <c r="L7" s="5">
        <v>242184969</v>
      </c>
      <c r="M7" s="5">
        <v>224989823</v>
      </c>
      <c r="N7" s="5">
        <v>2807190605</v>
      </c>
    </row>
    <row r="8" spans="1:14" ht="15" x14ac:dyDescent="0.2">
      <c r="A8" s="4" t="s">
        <v>18</v>
      </c>
      <c r="B8" s="5">
        <v>241795579</v>
      </c>
      <c r="C8" s="5">
        <v>257267296</v>
      </c>
      <c r="D8" s="5">
        <v>255732827</v>
      </c>
      <c r="E8" s="5">
        <v>218095916</v>
      </c>
      <c r="F8" s="5">
        <v>253211586</v>
      </c>
      <c r="G8" s="5">
        <v>232574842</v>
      </c>
      <c r="H8" s="5">
        <v>222121881</v>
      </c>
      <c r="I8" s="5">
        <v>228008761</v>
      </c>
      <c r="J8" s="5">
        <v>214896465</v>
      </c>
      <c r="K8" s="5">
        <v>213097377</v>
      </c>
      <c r="L8" s="5">
        <v>241057149</v>
      </c>
      <c r="M8" s="5">
        <v>232352674</v>
      </c>
      <c r="N8" s="5">
        <v>2810212353</v>
      </c>
    </row>
    <row r="9" spans="1:14" ht="15" x14ac:dyDescent="0.2">
      <c r="A9" s="4" t="s">
        <v>19</v>
      </c>
      <c r="B9" s="5">
        <v>974765728</v>
      </c>
      <c r="C9" s="5">
        <v>951176941</v>
      </c>
      <c r="D9" s="5">
        <v>1206211651</v>
      </c>
      <c r="E9" s="5">
        <v>1273962779</v>
      </c>
      <c r="F9" s="5">
        <v>1128171514</v>
      </c>
      <c r="G9" s="5">
        <v>1034828086</v>
      </c>
      <c r="H9" s="5">
        <v>1051842578</v>
      </c>
      <c r="I9" s="5">
        <v>924310039</v>
      </c>
      <c r="J9" s="5">
        <v>1031048071</v>
      </c>
      <c r="K9" s="5">
        <v>1212552557</v>
      </c>
      <c r="L9" s="5">
        <v>1266365264</v>
      </c>
      <c r="M9" s="5">
        <v>1201395426</v>
      </c>
      <c r="N9" s="5">
        <v>13256630634</v>
      </c>
    </row>
    <row r="10" spans="1:14" ht="15" x14ac:dyDescent="0.2">
      <c r="A10" s="4" t="s">
        <v>20</v>
      </c>
      <c r="B10" s="5">
        <v>29673915</v>
      </c>
      <c r="C10" s="5">
        <v>55627804</v>
      </c>
      <c r="D10" s="5">
        <v>33763110</v>
      </c>
      <c r="E10" s="5">
        <v>31737394</v>
      </c>
      <c r="F10" s="5">
        <v>34512570</v>
      </c>
      <c r="G10" s="5">
        <v>21583797</v>
      </c>
      <c r="H10" s="5">
        <v>22295116</v>
      </c>
      <c r="I10" s="5">
        <v>24422616</v>
      </c>
      <c r="J10" s="5">
        <v>24785433</v>
      </c>
      <c r="K10" s="5">
        <v>17444175</v>
      </c>
      <c r="L10" s="5">
        <v>24326314</v>
      </c>
      <c r="M10" s="5">
        <v>20685616</v>
      </c>
      <c r="N10" s="5">
        <v>340857860</v>
      </c>
    </row>
    <row r="11" spans="1:14" ht="15" x14ac:dyDescent="0.2">
      <c r="A11" s="4" t="s">
        <v>21</v>
      </c>
      <c r="B11" s="5">
        <v>261600822</v>
      </c>
      <c r="C11" s="5">
        <v>269005842</v>
      </c>
      <c r="D11" s="5">
        <v>265240011</v>
      </c>
      <c r="E11" s="5">
        <v>302690750</v>
      </c>
      <c r="F11" s="5">
        <v>279522594</v>
      </c>
      <c r="G11" s="5">
        <v>275817506</v>
      </c>
      <c r="H11" s="5">
        <v>274061368</v>
      </c>
      <c r="I11" s="5">
        <v>240539535</v>
      </c>
      <c r="J11" s="5">
        <v>271984435</v>
      </c>
      <c r="K11" s="5">
        <v>260311106</v>
      </c>
      <c r="L11" s="5">
        <v>283591229</v>
      </c>
      <c r="M11" s="5">
        <v>155930111</v>
      </c>
      <c r="N11" s="5">
        <v>3140295309</v>
      </c>
    </row>
    <row r="12" spans="1:14" ht="15" x14ac:dyDescent="0.2">
      <c r="A12" s="4" t="s">
        <v>22</v>
      </c>
      <c r="B12" s="5">
        <v>22174079</v>
      </c>
      <c r="C12" s="5">
        <v>21545235</v>
      </c>
      <c r="D12" s="5">
        <v>19679911</v>
      </c>
      <c r="E12" s="5">
        <v>23839910</v>
      </c>
      <c r="F12" s="5">
        <v>26796572</v>
      </c>
      <c r="G12" s="5">
        <v>23808787</v>
      </c>
      <c r="H12" s="5">
        <v>21583974</v>
      </c>
      <c r="I12" s="5">
        <v>21656213</v>
      </c>
      <c r="J12" s="5">
        <v>22407306</v>
      </c>
      <c r="K12" s="5">
        <v>20921000</v>
      </c>
      <c r="L12" s="5">
        <v>25667187</v>
      </c>
      <c r="M12" s="5">
        <v>22742164</v>
      </c>
      <c r="N12" s="5">
        <v>272822338</v>
      </c>
    </row>
    <row r="13" spans="1:14" ht="15" x14ac:dyDescent="0.2">
      <c r="A13" s="4" t="s">
        <v>23</v>
      </c>
      <c r="B13" s="5">
        <v>83564781</v>
      </c>
      <c r="C13" s="5">
        <v>85403470</v>
      </c>
      <c r="D13" s="5">
        <v>92312233</v>
      </c>
      <c r="E13" s="5">
        <v>86467861</v>
      </c>
      <c r="F13" s="5">
        <v>81576790</v>
      </c>
      <c r="G13" s="5">
        <v>88874350</v>
      </c>
      <c r="H13" s="5">
        <v>77725430</v>
      </c>
      <c r="I13" s="5">
        <v>81348176</v>
      </c>
      <c r="J13" s="5">
        <v>81159265</v>
      </c>
      <c r="K13" s="5">
        <v>70066542</v>
      </c>
      <c r="L13" s="5">
        <v>75497392</v>
      </c>
      <c r="M13" s="5">
        <v>72461003</v>
      </c>
      <c r="N13" s="5">
        <v>976457293</v>
      </c>
    </row>
    <row r="14" spans="1:14" ht="15" x14ac:dyDescent="0.2">
      <c r="A14" s="4" t="s">
        <v>24</v>
      </c>
      <c r="B14" s="5">
        <v>281440103</v>
      </c>
      <c r="C14" s="5">
        <v>304327302</v>
      </c>
      <c r="D14" s="5">
        <v>307055213</v>
      </c>
      <c r="E14" s="5">
        <v>281995796</v>
      </c>
      <c r="F14" s="5">
        <v>337971914</v>
      </c>
      <c r="G14" s="5">
        <v>280899060</v>
      </c>
      <c r="H14" s="5">
        <v>257761036</v>
      </c>
      <c r="I14" s="5">
        <v>265110626</v>
      </c>
      <c r="J14" s="5">
        <v>221362895</v>
      </c>
      <c r="K14" s="5">
        <v>220507197</v>
      </c>
      <c r="L14" s="5">
        <v>282407480</v>
      </c>
      <c r="M14" s="5">
        <v>257216616</v>
      </c>
      <c r="N14" s="5">
        <v>3298055238</v>
      </c>
    </row>
    <row r="15" spans="1:14" ht="15" x14ac:dyDescent="0.2">
      <c r="A15" s="4" t="s">
        <v>25</v>
      </c>
      <c r="B15" s="5">
        <v>291806171</v>
      </c>
      <c r="C15" s="5">
        <v>290890291</v>
      </c>
      <c r="D15" s="5">
        <v>319536850</v>
      </c>
      <c r="E15" s="5">
        <v>288128348</v>
      </c>
      <c r="F15" s="5">
        <v>301315643</v>
      </c>
      <c r="G15" s="5">
        <v>314683410</v>
      </c>
      <c r="H15" s="5">
        <v>256175618</v>
      </c>
      <c r="I15" s="5">
        <v>190910611</v>
      </c>
      <c r="J15" s="5">
        <v>228177764</v>
      </c>
      <c r="K15" s="5">
        <v>258980199</v>
      </c>
      <c r="L15" s="5">
        <v>265401044</v>
      </c>
      <c r="M15" s="5">
        <v>281727506</v>
      </c>
      <c r="N15" s="5">
        <v>3287733455</v>
      </c>
    </row>
    <row r="16" spans="1:14" ht="15" x14ac:dyDescent="0.2">
      <c r="A16" s="4" t="s">
        <v>26</v>
      </c>
      <c r="B16" s="5">
        <v>15905022</v>
      </c>
      <c r="C16" s="5">
        <v>16692044</v>
      </c>
      <c r="D16" s="5">
        <v>15769846</v>
      </c>
      <c r="E16" s="5">
        <v>14092908</v>
      </c>
      <c r="F16" s="5">
        <v>14550018</v>
      </c>
      <c r="G16" s="5">
        <v>14802234</v>
      </c>
      <c r="H16" s="5">
        <v>13761872</v>
      </c>
      <c r="I16" s="5">
        <v>13486847</v>
      </c>
      <c r="J16" s="5">
        <v>12797259</v>
      </c>
      <c r="K16" s="5">
        <v>12455993</v>
      </c>
      <c r="L16" s="5">
        <v>13624182</v>
      </c>
      <c r="M16" s="5">
        <v>14882772</v>
      </c>
      <c r="N16" s="5">
        <v>172820997</v>
      </c>
    </row>
    <row r="17" spans="1:14" ht="15" x14ac:dyDescent="0.2">
      <c r="A17" s="4" t="s">
        <v>27</v>
      </c>
      <c r="B17" s="5">
        <v>12926890</v>
      </c>
      <c r="C17" s="5">
        <v>12467061</v>
      </c>
      <c r="D17" s="5">
        <v>12534020</v>
      </c>
      <c r="E17" s="5">
        <v>16577652</v>
      </c>
      <c r="F17" s="5">
        <v>10245474</v>
      </c>
      <c r="G17" s="5">
        <v>7664116</v>
      </c>
      <c r="H17" s="5">
        <v>14802404</v>
      </c>
      <c r="I17" s="5">
        <v>11142033</v>
      </c>
      <c r="J17" s="5">
        <v>10273679</v>
      </c>
      <c r="K17" s="5">
        <v>10207452</v>
      </c>
      <c r="L17" s="5">
        <v>9366912</v>
      </c>
      <c r="M17" s="5">
        <v>8522755</v>
      </c>
      <c r="N17" s="5">
        <v>136730448</v>
      </c>
    </row>
    <row r="18" spans="1:14" ht="15" x14ac:dyDescent="0.2">
      <c r="A18" s="4" t="s">
        <v>28</v>
      </c>
      <c r="B18" s="5">
        <v>2741820065</v>
      </c>
      <c r="C18" s="5">
        <v>2825705007</v>
      </c>
      <c r="D18" s="5">
        <v>3144504013</v>
      </c>
      <c r="E18" s="5">
        <v>3046276627</v>
      </c>
      <c r="F18" s="5">
        <v>3050750997</v>
      </c>
      <c r="G18" s="5">
        <v>2896162681</v>
      </c>
      <c r="H18" s="5">
        <v>2700515895</v>
      </c>
      <c r="I18" s="5">
        <v>2547767398</v>
      </c>
      <c r="J18" s="5">
        <v>2620817994</v>
      </c>
      <c r="K18" s="5">
        <v>2693481786</v>
      </c>
      <c r="L18" s="5">
        <v>2984479281</v>
      </c>
      <c r="M18" s="5">
        <v>2750697583</v>
      </c>
      <c r="N18" s="5">
        <v>34002979327</v>
      </c>
    </row>
    <row r="19" spans="1:14" ht="15" x14ac:dyDescent="0.2">
      <c r="A19" s="14" t="s">
        <v>52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ht="15" x14ac:dyDescent="0.2">
      <c r="A20" s="11" t="s">
        <v>50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</sheetData>
  <mergeCells count="3">
    <mergeCell ref="A1:N1"/>
    <mergeCell ref="A19:N19"/>
    <mergeCell ref="A20:N20"/>
  </mergeCells>
  <hyperlinks>
    <hyperlink ref="A19:N19" location="'Table of Contents'!A19" display="Back to Table of Contents" xr:uid="{8969722C-413A-46A2-BD34-9E7BFE0B6FE1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4708A-D991-4FCA-8954-9B7C65BC5692}">
  <sheetPr codeName="Sheet19"/>
  <dimension ref="A1:N20"/>
  <sheetViews>
    <sheetView workbookViewId="0">
      <selection sqref="A1:N1"/>
    </sheetView>
  </sheetViews>
  <sheetFormatPr defaultColWidth="0" defaultRowHeight="0" customHeight="1" zeroHeight="1" x14ac:dyDescent="0.2"/>
  <cols>
    <col min="1" max="1" width="27.7109375" style="4" customWidth="1"/>
    <col min="2" max="2" width="16.140625" style="4" customWidth="1"/>
    <col min="3" max="3" width="15.5703125" style="4" customWidth="1"/>
    <col min="4" max="5" width="16" style="4" bestFit="1" customWidth="1"/>
    <col min="6" max="6" width="15.5703125" style="4" customWidth="1"/>
    <col min="7" max="13" width="16" style="4" bestFit="1" customWidth="1"/>
    <col min="14" max="14" width="17.28515625" style="4" bestFit="1" customWidth="1"/>
    <col min="15" max="16384" width="8.85546875" style="2" hidden="1"/>
  </cols>
  <sheetData>
    <row r="1" spans="1:14" s="10" customFormat="1" ht="18" x14ac:dyDescent="0.25">
      <c r="A1" s="13" t="s">
        <v>55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5.75" x14ac:dyDescent="0.25">
      <c r="A2" s="1" t="s">
        <v>53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</row>
    <row r="3" spans="1:14" ht="15" x14ac:dyDescent="0.2">
      <c r="A3" s="4" t="s">
        <v>13</v>
      </c>
      <c r="B3" s="5">
        <v>1444425</v>
      </c>
      <c r="C3" s="5">
        <v>1950630</v>
      </c>
      <c r="D3" s="5">
        <v>2155422</v>
      </c>
      <c r="E3" s="5">
        <v>4182222</v>
      </c>
      <c r="F3" s="5">
        <v>2099486</v>
      </c>
      <c r="G3" s="5">
        <v>1348812</v>
      </c>
      <c r="H3" s="5">
        <v>1313945</v>
      </c>
      <c r="I3" s="5">
        <v>2849553</v>
      </c>
      <c r="J3" s="5">
        <v>2996420</v>
      </c>
      <c r="K3" s="5">
        <v>2406788</v>
      </c>
      <c r="L3" s="5">
        <v>2714760</v>
      </c>
      <c r="M3" s="5">
        <v>1967872</v>
      </c>
      <c r="N3" s="5">
        <v>27430335</v>
      </c>
    </row>
    <row r="4" spans="1:14" ht="15" x14ac:dyDescent="0.2">
      <c r="A4" s="4" t="s">
        <v>14</v>
      </c>
      <c r="B4" s="5">
        <v>46442916</v>
      </c>
      <c r="C4" s="5">
        <v>49037260</v>
      </c>
      <c r="D4" s="5">
        <v>29398111</v>
      </c>
      <c r="E4" s="5">
        <v>53006559</v>
      </c>
      <c r="F4" s="5">
        <v>68721411</v>
      </c>
      <c r="G4" s="5">
        <v>58835429</v>
      </c>
      <c r="H4" s="5">
        <v>13971968</v>
      </c>
      <c r="I4" s="5">
        <v>75894406</v>
      </c>
      <c r="J4" s="5">
        <v>48813248</v>
      </c>
      <c r="K4" s="5">
        <v>61766264</v>
      </c>
      <c r="L4" s="5">
        <v>87940573</v>
      </c>
      <c r="M4" s="5">
        <v>81077708</v>
      </c>
      <c r="N4" s="5">
        <v>674905853</v>
      </c>
    </row>
    <row r="5" spans="1:14" ht="15" x14ac:dyDescent="0.2">
      <c r="A5" s="4" t="s">
        <v>15</v>
      </c>
      <c r="B5" s="5">
        <v>69104033</v>
      </c>
      <c r="C5" s="5">
        <v>54432915</v>
      </c>
      <c r="D5" s="5">
        <v>75103296</v>
      </c>
      <c r="E5" s="5">
        <v>37483488</v>
      </c>
      <c r="F5" s="5">
        <v>52907557</v>
      </c>
      <c r="G5" s="5">
        <v>77190575</v>
      </c>
      <c r="H5" s="5">
        <v>55185068</v>
      </c>
      <c r="I5" s="5">
        <v>79638718</v>
      </c>
      <c r="J5" s="5">
        <v>107974628</v>
      </c>
      <c r="K5" s="5">
        <v>70553463</v>
      </c>
      <c r="L5" s="5">
        <v>67937002</v>
      </c>
      <c r="M5" s="5">
        <v>89801980</v>
      </c>
      <c r="N5" s="5">
        <v>837312723</v>
      </c>
    </row>
    <row r="6" spans="1:14" ht="15" x14ac:dyDescent="0.2">
      <c r="A6" s="4" t="s">
        <v>16</v>
      </c>
      <c r="B6" s="5">
        <v>115312648</v>
      </c>
      <c r="C6" s="5">
        <v>120170261</v>
      </c>
      <c r="D6" s="5">
        <v>131463073</v>
      </c>
      <c r="E6" s="5">
        <v>111997891</v>
      </c>
      <c r="F6" s="5">
        <v>129608314</v>
      </c>
      <c r="G6" s="5">
        <v>89050092</v>
      </c>
      <c r="H6" s="5">
        <v>111994222</v>
      </c>
      <c r="I6" s="5">
        <v>128277563</v>
      </c>
      <c r="J6" s="5">
        <v>130833213</v>
      </c>
      <c r="K6" s="5">
        <v>121203087</v>
      </c>
      <c r="L6" s="5">
        <v>147435284</v>
      </c>
      <c r="M6" s="5">
        <v>139222157</v>
      </c>
      <c r="N6" s="5">
        <v>1476567805</v>
      </c>
    </row>
    <row r="7" spans="1:14" ht="15" x14ac:dyDescent="0.2">
      <c r="A7" s="4" t="s">
        <v>17</v>
      </c>
      <c r="B7" s="5">
        <v>206603011</v>
      </c>
      <c r="C7" s="5">
        <v>124006331</v>
      </c>
      <c r="D7" s="5">
        <v>253155366</v>
      </c>
      <c r="E7" s="5">
        <v>213770261</v>
      </c>
      <c r="F7" s="5">
        <v>259854942</v>
      </c>
      <c r="G7" s="5">
        <v>211527676</v>
      </c>
      <c r="H7" s="5">
        <v>208700581</v>
      </c>
      <c r="I7" s="5">
        <v>266052456</v>
      </c>
      <c r="J7" s="5">
        <v>275242596</v>
      </c>
      <c r="K7" s="5">
        <v>238294958</v>
      </c>
      <c r="L7" s="5">
        <v>258002061</v>
      </c>
      <c r="M7" s="5">
        <v>276024048</v>
      </c>
      <c r="N7" s="5">
        <v>2791234287</v>
      </c>
    </row>
    <row r="8" spans="1:14" ht="15" x14ac:dyDescent="0.2">
      <c r="A8" s="4" t="s">
        <v>18</v>
      </c>
      <c r="B8" s="5">
        <v>217646756</v>
      </c>
      <c r="C8" s="5">
        <v>236819041</v>
      </c>
      <c r="D8" s="5">
        <v>232021616</v>
      </c>
      <c r="E8" s="5">
        <v>224587655</v>
      </c>
      <c r="F8" s="5">
        <v>253598634</v>
      </c>
      <c r="G8" s="5">
        <v>203141811</v>
      </c>
      <c r="H8" s="5">
        <v>209020811</v>
      </c>
      <c r="I8" s="5">
        <v>281148163</v>
      </c>
      <c r="J8" s="5">
        <v>281585878</v>
      </c>
      <c r="K8" s="5">
        <v>266401446</v>
      </c>
      <c r="L8" s="5">
        <v>320142753</v>
      </c>
      <c r="M8" s="5">
        <v>281986811</v>
      </c>
      <c r="N8" s="5">
        <v>3008101375</v>
      </c>
    </row>
    <row r="9" spans="1:14" ht="15" x14ac:dyDescent="0.2">
      <c r="A9" s="4" t="s">
        <v>19</v>
      </c>
      <c r="B9" s="5">
        <v>1125798572</v>
      </c>
      <c r="C9" s="5">
        <v>1241945427</v>
      </c>
      <c r="D9" s="5">
        <v>1305027508</v>
      </c>
      <c r="E9" s="5">
        <v>1374236948</v>
      </c>
      <c r="F9" s="5">
        <v>1335894614</v>
      </c>
      <c r="G9" s="5">
        <v>1112239109</v>
      </c>
      <c r="H9" s="5">
        <v>1128020048</v>
      </c>
      <c r="I9" s="5">
        <v>1521753202</v>
      </c>
      <c r="J9" s="5">
        <v>1495096646</v>
      </c>
      <c r="K9" s="5">
        <v>1376628629</v>
      </c>
      <c r="L9" s="5">
        <v>1417343110</v>
      </c>
      <c r="M9" s="5">
        <v>1371429098</v>
      </c>
      <c r="N9" s="5">
        <v>15805412911</v>
      </c>
    </row>
    <row r="10" spans="1:14" ht="15" x14ac:dyDescent="0.2">
      <c r="A10" s="4" t="s">
        <v>20</v>
      </c>
      <c r="B10" s="5">
        <v>18807605</v>
      </c>
      <c r="C10" s="5">
        <v>22414423</v>
      </c>
      <c r="D10" s="5">
        <v>22204571</v>
      </c>
      <c r="E10" s="5">
        <v>17208541</v>
      </c>
      <c r="F10" s="5">
        <v>24509322</v>
      </c>
      <c r="G10" s="5">
        <v>13747163</v>
      </c>
      <c r="H10" s="5">
        <v>21476758</v>
      </c>
      <c r="I10" s="5">
        <v>21319043</v>
      </c>
      <c r="J10" s="5">
        <v>21076053</v>
      </c>
      <c r="K10" s="5">
        <v>20993006</v>
      </c>
      <c r="L10" s="5">
        <v>20709184</v>
      </c>
      <c r="M10" s="5">
        <v>22695252</v>
      </c>
      <c r="N10" s="5">
        <v>247160921</v>
      </c>
    </row>
    <row r="11" spans="1:14" ht="15" x14ac:dyDescent="0.2">
      <c r="A11" s="4" t="s">
        <v>21</v>
      </c>
      <c r="B11" s="5">
        <v>182463089</v>
      </c>
      <c r="C11" s="5">
        <v>205514458</v>
      </c>
      <c r="D11" s="5">
        <v>174264043</v>
      </c>
      <c r="E11" s="5">
        <v>199333161</v>
      </c>
      <c r="F11" s="5">
        <v>260713607</v>
      </c>
      <c r="G11" s="5">
        <v>164666167</v>
      </c>
      <c r="H11" s="5">
        <v>175815005</v>
      </c>
      <c r="I11" s="5">
        <v>236174454</v>
      </c>
      <c r="J11" s="5">
        <v>213709765</v>
      </c>
      <c r="K11" s="5">
        <v>205235767</v>
      </c>
      <c r="L11" s="5">
        <v>226940546</v>
      </c>
      <c r="M11" s="5">
        <v>206810455</v>
      </c>
      <c r="N11" s="5">
        <v>2451640517</v>
      </c>
    </row>
    <row r="12" spans="1:14" ht="15" x14ac:dyDescent="0.2">
      <c r="A12" s="4" t="s">
        <v>22</v>
      </c>
      <c r="B12" s="5">
        <v>17907961</v>
      </c>
      <c r="C12" s="5">
        <v>24770982</v>
      </c>
      <c r="D12" s="5">
        <v>22490371</v>
      </c>
      <c r="E12" s="5">
        <v>22873708</v>
      </c>
      <c r="F12" s="5">
        <v>24375744</v>
      </c>
      <c r="G12" s="5">
        <v>23659435</v>
      </c>
      <c r="H12" s="5">
        <v>20285826</v>
      </c>
      <c r="I12" s="5">
        <v>33786520</v>
      </c>
      <c r="J12" s="5">
        <v>28232632</v>
      </c>
      <c r="K12" s="5">
        <v>27703274</v>
      </c>
      <c r="L12" s="5">
        <v>26823801</v>
      </c>
      <c r="M12" s="5">
        <v>27511131</v>
      </c>
      <c r="N12" s="5">
        <v>300421385</v>
      </c>
    </row>
    <row r="13" spans="1:14" ht="15" x14ac:dyDescent="0.2">
      <c r="A13" s="4" t="s">
        <v>23</v>
      </c>
      <c r="B13" s="5">
        <v>65343464</v>
      </c>
      <c r="C13" s="5">
        <v>62108585</v>
      </c>
      <c r="D13" s="5">
        <v>76697241</v>
      </c>
      <c r="E13" s="5">
        <v>64069061</v>
      </c>
      <c r="F13" s="5">
        <v>78760880</v>
      </c>
      <c r="G13" s="5">
        <v>73643971</v>
      </c>
      <c r="H13" s="5">
        <v>66593687</v>
      </c>
      <c r="I13" s="5">
        <v>79276433</v>
      </c>
      <c r="J13" s="5">
        <v>74835385</v>
      </c>
      <c r="K13" s="5">
        <v>72595378</v>
      </c>
      <c r="L13" s="5">
        <v>80374353</v>
      </c>
      <c r="M13" s="5">
        <v>79173668</v>
      </c>
      <c r="N13" s="5">
        <v>873472106</v>
      </c>
    </row>
    <row r="14" spans="1:14" ht="15" x14ac:dyDescent="0.2">
      <c r="A14" s="4" t="s">
        <v>24</v>
      </c>
      <c r="B14" s="5">
        <v>234912785</v>
      </c>
      <c r="C14" s="5">
        <v>282374157</v>
      </c>
      <c r="D14" s="5">
        <v>275873918</v>
      </c>
      <c r="E14" s="5">
        <v>278436675</v>
      </c>
      <c r="F14" s="5">
        <v>306405453</v>
      </c>
      <c r="G14" s="5">
        <v>240315828</v>
      </c>
      <c r="H14" s="5">
        <v>256642998</v>
      </c>
      <c r="I14" s="5">
        <v>325175992</v>
      </c>
      <c r="J14" s="5">
        <v>300416924</v>
      </c>
      <c r="K14" s="5">
        <v>304119773</v>
      </c>
      <c r="L14" s="5">
        <v>354633762</v>
      </c>
      <c r="M14" s="5">
        <v>330978242</v>
      </c>
      <c r="N14" s="5">
        <v>3490286507</v>
      </c>
    </row>
    <row r="15" spans="1:14" ht="15" x14ac:dyDescent="0.2">
      <c r="A15" s="4" t="s">
        <v>25</v>
      </c>
      <c r="B15" s="5">
        <v>263314301</v>
      </c>
      <c r="C15" s="5">
        <v>276798617</v>
      </c>
      <c r="D15" s="5">
        <v>307348827</v>
      </c>
      <c r="E15" s="5">
        <v>260693846</v>
      </c>
      <c r="F15" s="5">
        <v>278758901</v>
      </c>
      <c r="G15" s="5">
        <v>268415251</v>
      </c>
      <c r="H15" s="5">
        <v>276140382</v>
      </c>
      <c r="I15" s="5">
        <v>338492794</v>
      </c>
      <c r="J15" s="5">
        <v>381016314</v>
      </c>
      <c r="K15" s="5">
        <v>347661161</v>
      </c>
      <c r="L15" s="5">
        <v>344337729</v>
      </c>
      <c r="M15" s="5">
        <v>374913245</v>
      </c>
      <c r="N15" s="5">
        <v>3717891368</v>
      </c>
    </row>
    <row r="16" spans="1:14" ht="15" x14ac:dyDescent="0.2">
      <c r="A16" s="4" t="s">
        <v>26</v>
      </c>
      <c r="B16" s="5">
        <v>14934129</v>
      </c>
      <c r="C16" s="5">
        <v>14755890</v>
      </c>
      <c r="D16" s="5">
        <v>14120907</v>
      </c>
      <c r="E16" s="5">
        <v>12772738</v>
      </c>
      <c r="F16" s="5">
        <v>13341411</v>
      </c>
      <c r="G16" s="5">
        <v>12419072</v>
      </c>
      <c r="H16" s="5">
        <v>13051407</v>
      </c>
      <c r="I16" s="5">
        <v>13030432</v>
      </c>
      <c r="J16" s="5">
        <v>16092791</v>
      </c>
      <c r="K16" s="5">
        <v>15948648</v>
      </c>
      <c r="L16" s="5">
        <v>15484861</v>
      </c>
      <c r="M16" s="5">
        <v>15975807</v>
      </c>
      <c r="N16" s="5">
        <v>171928093</v>
      </c>
    </row>
    <row r="17" spans="1:14" ht="15" x14ac:dyDescent="0.2">
      <c r="A17" s="4" t="s">
        <v>27</v>
      </c>
      <c r="B17" s="5">
        <v>6400944</v>
      </c>
      <c r="C17" s="5">
        <v>6209484</v>
      </c>
      <c r="D17" s="5">
        <v>6959666</v>
      </c>
      <c r="E17" s="5">
        <v>5745178</v>
      </c>
      <c r="F17" s="5">
        <v>7757578</v>
      </c>
      <c r="G17" s="5">
        <v>4879711</v>
      </c>
      <c r="H17" s="5">
        <v>7354753</v>
      </c>
      <c r="I17" s="5">
        <v>6988326</v>
      </c>
      <c r="J17" s="5">
        <v>6923441</v>
      </c>
      <c r="K17" s="5">
        <v>7287687</v>
      </c>
      <c r="L17" s="5">
        <v>8003780</v>
      </c>
      <c r="M17" s="5">
        <v>6670148</v>
      </c>
      <c r="N17" s="5">
        <v>81180696</v>
      </c>
    </row>
    <row r="18" spans="1:14" ht="15" x14ac:dyDescent="0.2">
      <c r="A18" s="4" t="s">
        <v>28</v>
      </c>
      <c r="B18" s="5">
        <v>2586436639</v>
      </c>
      <c r="C18" s="5">
        <v>2723308461</v>
      </c>
      <c r="D18" s="5">
        <v>2928287407</v>
      </c>
      <c r="E18" s="5">
        <v>2880397932</v>
      </c>
      <c r="F18" s="5">
        <v>3097307854</v>
      </c>
      <c r="G18" s="5">
        <v>2555080102</v>
      </c>
      <c r="H18" s="5">
        <v>2565567459</v>
      </c>
      <c r="I18" s="5">
        <v>3409858055</v>
      </c>
      <c r="J18" s="5">
        <v>3384845934</v>
      </c>
      <c r="K18" s="5">
        <v>3138799329</v>
      </c>
      <c r="L18" s="5">
        <v>3378823559</v>
      </c>
      <c r="M18" s="5">
        <v>3306237622</v>
      </c>
      <c r="N18" s="5">
        <v>35954950353</v>
      </c>
    </row>
    <row r="19" spans="1:14" ht="15" x14ac:dyDescent="0.2">
      <c r="A19" s="14" t="s">
        <v>52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ht="15" x14ac:dyDescent="0.2">
      <c r="A20" s="11" t="s">
        <v>50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</sheetData>
  <mergeCells count="3">
    <mergeCell ref="A1:N1"/>
    <mergeCell ref="A19:N19"/>
    <mergeCell ref="A20:N20"/>
  </mergeCells>
  <hyperlinks>
    <hyperlink ref="A19:N19" location="'Table of Contents'!A20" display="Back to Table of Contents" xr:uid="{B1C65F2B-C381-4DC1-96C8-37BD5ED20A37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F7CCF-1FCA-42C8-B5F5-5D3D0E37AA6E}">
  <sheetPr codeName="Sheet20"/>
  <dimension ref="A1:N20"/>
  <sheetViews>
    <sheetView workbookViewId="0">
      <selection sqref="A1:N1"/>
    </sheetView>
  </sheetViews>
  <sheetFormatPr defaultColWidth="0" defaultRowHeight="0" customHeight="1" zeroHeight="1" x14ac:dyDescent="0.2"/>
  <cols>
    <col min="1" max="1" width="27.7109375" style="4" customWidth="1"/>
    <col min="2" max="2" width="16.140625" style="4" customWidth="1"/>
    <col min="3" max="3" width="15.5703125" style="4" customWidth="1"/>
    <col min="4" max="5" width="16" style="4" bestFit="1" customWidth="1"/>
    <col min="6" max="6" width="15.5703125" style="4" customWidth="1"/>
    <col min="7" max="13" width="16" style="4" bestFit="1" customWidth="1"/>
    <col min="14" max="14" width="17.28515625" style="4" bestFit="1" customWidth="1"/>
    <col min="15" max="16384" width="8.85546875" style="2" hidden="1"/>
  </cols>
  <sheetData>
    <row r="1" spans="1:14" s="10" customFormat="1" ht="18" x14ac:dyDescent="0.25">
      <c r="A1" s="13" t="s">
        <v>54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5.75" x14ac:dyDescent="0.25">
      <c r="A2" s="1" t="s">
        <v>53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</row>
    <row r="3" spans="1:14" ht="15" x14ac:dyDescent="0.2">
      <c r="A3" s="4" t="s">
        <v>13</v>
      </c>
      <c r="B3" s="5">
        <v>1748045</v>
      </c>
      <c r="C3" s="5">
        <v>2627641</v>
      </c>
      <c r="D3" s="5">
        <v>2607809</v>
      </c>
      <c r="E3" s="5">
        <v>2240593</v>
      </c>
      <c r="F3" s="5">
        <v>2432083</v>
      </c>
      <c r="G3" s="5">
        <v>1693281</v>
      </c>
      <c r="H3" s="5">
        <v>1672577</v>
      </c>
      <c r="I3" s="5">
        <v>3122577</v>
      </c>
      <c r="J3" s="5">
        <v>3283762</v>
      </c>
      <c r="K3" s="5">
        <v>2803914</v>
      </c>
      <c r="L3" s="5">
        <v>2690668</v>
      </c>
      <c r="M3" s="5">
        <v>2030970</v>
      </c>
      <c r="N3" s="5">
        <v>28953920</v>
      </c>
    </row>
    <row r="4" spans="1:14" ht="15" x14ac:dyDescent="0.2">
      <c r="A4" s="4" t="s">
        <v>14</v>
      </c>
      <c r="B4" s="5">
        <v>89510951</v>
      </c>
      <c r="C4" s="5">
        <v>98665551</v>
      </c>
      <c r="D4" s="5">
        <v>96982177</v>
      </c>
      <c r="E4" s="5">
        <v>88567631</v>
      </c>
      <c r="F4" s="5">
        <v>117280138</v>
      </c>
      <c r="G4" s="5">
        <v>113748422</v>
      </c>
      <c r="H4" s="5">
        <v>99726669</v>
      </c>
      <c r="I4" s="5">
        <v>142098869</v>
      </c>
      <c r="J4" s="5">
        <v>110581259</v>
      </c>
      <c r="K4" s="5">
        <v>125229315</v>
      </c>
      <c r="L4" s="5">
        <v>142167956</v>
      </c>
      <c r="M4" s="5">
        <v>147470992</v>
      </c>
      <c r="N4" s="5">
        <v>1372029930</v>
      </c>
    </row>
    <row r="5" spans="1:14" ht="15" x14ac:dyDescent="0.2">
      <c r="A5" s="4" t="s">
        <v>15</v>
      </c>
      <c r="B5" s="5">
        <v>56075779</v>
      </c>
      <c r="C5" s="5">
        <v>81016629</v>
      </c>
      <c r="D5" s="5">
        <v>92172974</v>
      </c>
      <c r="E5" s="5">
        <v>53487661</v>
      </c>
      <c r="F5" s="5">
        <v>118552625</v>
      </c>
      <c r="G5" s="5">
        <v>95607542</v>
      </c>
      <c r="H5" s="5">
        <v>67056061</v>
      </c>
      <c r="I5" s="5">
        <v>73793723</v>
      </c>
      <c r="J5" s="5">
        <v>89778789</v>
      </c>
      <c r="K5" s="5">
        <v>62997359</v>
      </c>
      <c r="L5" s="5">
        <v>102905224</v>
      </c>
      <c r="M5" s="5">
        <v>121611992</v>
      </c>
      <c r="N5" s="5">
        <v>1015056358</v>
      </c>
    </row>
    <row r="6" spans="1:14" ht="15" x14ac:dyDescent="0.2">
      <c r="A6" s="4" t="s">
        <v>16</v>
      </c>
      <c r="B6" s="5">
        <v>139025818</v>
      </c>
      <c r="C6" s="5">
        <v>151737912</v>
      </c>
      <c r="D6" s="5">
        <v>142883970</v>
      </c>
      <c r="E6" s="5">
        <v>141863683</v>
      </c>
      <c r="F6" s="5">
        <v>161151973</v>
      </c>
      <c r="G6" s="5">
        <v>136457228</v>
      </c>
      <c r="H6" s="5">
        <v>134608069</v>
      </c>
      <c r="I6" s="5">
        <v>170367713</v>
      </c>
      <c r="J6" s="5">
        <v>161561650</v>
      </c>
      <c r="K6" s="5">
        <v>165597018</v>
      </c>
      <c r="L6" s="5">
        <v>187346978</v>
      </c>
      <c r="M6" s="5">
        <v>171596038</v>
      </c>
      <c r="N6" s="5">
        <v>1864198050</v>
      </c>
    </row>
    <row r="7" spans="1:14" ht="15" x14ac:dyDescent="0.2">
      <c r="A7" s="4" t="s">
        <v>17</v>
      </c>
      <c r="B7" s="5">
        <v>231689091</v>
      </c>
      <c r="C7" s="5">
        <v>281936909</v>
      </c>
      <c r="D7" s="5">
        <v>301834012</v>
      </c>
      <c r="E7" s="5">
        <v>280937322</v>
      </c>
      <c r="F7" s="5">
        <v>333322044</v>
      </c>
      <c r="G7" s="5">
        <v>273764498</v>
      </c>
      <c r="H7" s="5">
        <v>255269653</v>
      </c>
      <c r="I7" s="5">
        <v>319363732</v>
      </c>
      <c r="J7" s="5">
        <v>313148872</v>
      </c>
      <c r="K7" s="5">
        <v>289454869</v>
      </c>
      <c r="L7" s="5">
        <v>333207656</v>
      </c>
      <c r="M7" s="5">
        <v>311186101</v>
      </c>
      <c r="N7" s="5">
        <v>3525114759</v>
      </c>
    </row>
    <row r="8" spans="1:14" ht="15" x14ac:dyDescent="0.2">
      <c r="A8" s="4" t="s">
        <v>18</v>
      </c>
      <c r="B8" s="5">
        <v>287600498</v>
      </c>
      <c r="C8" s="5">
        <v>301926482</v>
      </c>
      <c r="D8" s="5">
        <v>302880980</v>
      </c>
      <c r="E8" s="5">
        <v>291245528</v>
      </c>
      <c r="F8" s="5">
        <v>318657950</v>
      </c>
      <c r="G8" s="5">
        <v>300374940</v>
      </c>
      <c r="H8" s="5">
        <v>302194390</v>
      </c>
      <c r="I8" s="5">
        <v>372497272</v>
      </c>
      <c r="J8" s="5">
        <v>349157188</v>
      </c>
      <c r="K8" s="5">
        <v>368564577</v>
      </c>
      <c r="L8" s="5">
        <v>393515190</v>
      </c>
      <c r="M8" s="5">
        <v>362733627</v>
      </c>
      <c r="N8" s="5">
        <v>3951348622</v>
      </c>
    </row>
    <row r="9" spans="1:14" ht="15" x14ac:dyDescent="0.2">
      <c r="A9" s="4" t="s">
        <v>19</v>
      </c>
      <c r="B9" s="5">
        <v>1343834412</v>
      </c>
      <c r="C9" s="5">
        <v>1384578275</v>
      </c>
      <c r="D9" s="5">
        <v>1491198046</v>
      </c>
      <c r="E9" s="5">
        <v>1683056639</v>
      </c>
      <c r="F9" s="5">
        <v>1605648966</v>
      </c>
      <c r="G9" s="5">
        <v>1227201422</v>
      </c>
      <c r="H9" s="5">
        <v>1479127168</v>
      </c>
      <c r="I9" s="5">
        <v>1506555867</v>
      </c>
      <c r="J9" s="5">
        <v>1501081860</v>
      </c>
      <c r="K9" s="5">
        <v>1532897688</v>
      </c>
      <c r="L9" s="5">
        <v>1517413697</v>
      </c>
      <c r="M9" s="5">
        <v>1475188573</v>
      </c>
      <c r="N9" s="5">
        <v>17747782613</v>
      </c>
    </row>
    <row r="10" spans="1:14" ht="15" x14ac:dyDescent="0.2">
      <c r="A10" s="4" t="s">
        <v>20</v>
      </c>
      <c r="B10" s="5">
        <v>23156130</v>
      </c>
      <c r="C10" s="5">
        <v>24111357</v>
      </c>
      <c r="D10" s="5">
        <v>30120663</v>
      </c>
      <c r="E10" s="5">
        <v>22677663</v>
      </c>
      <c r="F10" s="5">
        <v>28767465</v>
      </c>
      <c r="G10" s="5">
        <v>24950441</v>
      </c>
      <c r="H10" s="5">
        <v>29057047</v>
      </c>
      <c r="I10" s="5">
        <v>29436191</v>
      </c>
      <c r="J10" s="5">
        <v>22213006</v>
      </c>
      <c r="K10" s="5">
        <v>23458976</v>
      </c>
      <c r="L10" s="5">
        <v>32359498</v>
      </c>
      <c r="M10" s="5">
        <v>33401310</v>
      </c>
      <c r="N10" s="5">
        <v>323709747</v>
      </c>
    </row>
    <row r="11" spans="1:14" ht="15" x14ac:dyDescent="0.2">
      <c r="A11" s="4" t="s">
        <v>21</v>
      </c>
      <c r="B11" s="5">
        <v>209585467</v>
      </c>
      <c r="C11" s="5">
        <v>230498988</v>
      </c>
      <c r="D11" s="5">
        <v>264313822</v>
      </c>
      <c r="E11" s="5">
        <v>234695028</v>
      </c>
      <c r="F11" s="5">
        <v>267659061</v>
      </c>
      <c r="G11" s="5">
        <v>238951629</v>
      </c>
      <c r="H11" s="5">
        <v>226654165</v>
      </c>
      <c r="I11" s="5">
        <v>244072988</v>
      </c>
      <c r="J11" s="5">
        <v>228828744</v>
      </c>
      <c r="K11" s="5">
        <v>231430052</v>
      </c>
      <c r="L11" s="5">
        <v>240303154</v>
      </c>
      <c r="M11" s="5">
        <v>192864109</v>
      </c>
      <c r="N11" s="5">
        <v>2809857207</v>
      </c>
    </row>
    <row r="12" spans="1:14" ht="15" x14ac:dyDescent="0.2">
      <c r="A12" s="4" t="s">
        <v>22</v>
      </c>
      <c r="B12" s="5">
        <v>26570033</v>
      </c>
      <c r="C12" s="5">
        <v>27222433</v>
      </c>
      <c r="D12" s="5">
        <v>29732818</v>
      </c>
      <c r="E12" s="5">
        <v>27684365</v>
      </c>
      <c r="F12" s="5">
        <v>29173179</v>
      </c>
      <c r="G12" s="5">
        <v>31157790</v>
      </c>
      <c r="H12" s="5">
        <v>29230348</v>
      </c>
      <c r="I12" s="5">
        <v>27222425</v>
      </c>
      <c r="J12" s="5">
        <v>26897398</v>
      </c>
      <c r="K12" s="5">
        <v>26009244</v>
      </c>
      <c r="L12" s="5">
        <v>26867964</v>
      </c>
      <c r="M12" s="5">
        <v>22942368</v>
      </c>
      <c r="N12" s="5">
        <v>330710365</v>
      </c>
    </row>
    <row r="13" spans="1:14" ht="15" x14ac:dyDescent="0.2">
      <c r="A13" s="4" t="s">
        <v>23</v>
      </c>
      <c r="B13" s="5">
        <v>76675648</v>
      </c>
      <c r="C13" s="5">
        <v>83856134</v>
      </c>
      <c r="D13" s="5">
        <v>81985790</v>
      </c>
      <c r="E13" s="5">
        <v>83227437</v>
      </c>
      <c r="F13" s="5">
        <v>95104232</v>
      </c>
      <c r="G13" s="5">
        <v>78305704</v>
      </c>
      <c r="H13" s="5">
        <v>85355258</v>
      </c>
      <c r="I13" s="5">
        <v>88736760</v>
      </c>
      <c r="J13" s="5">
        <v>93398916</v>
      </c>
      <c r="K13" s="5">
        <v>84680716</v>
      </c>
      <c r="L13" s="5">
        <v>96286817</v>
      </c>
      <c r="M13" s="5">
        <v>93744499</v>
      </c>
      <c r="N13" s="5">
        <v>1041357911</v>
      </c>
    </row>
    <row r="14" spans="1:14" ht="15" x14ac:dyDescent="0.2">
      <c r="A14" s="4" t="s">
        <v>24</v>
      </c>
      <c r="B14" s="5">
        <v>311283926</v>
      </c>
      <c r="C14" s="5">
        <v>346856435</v>
      </c>
      <c r="D14" s="5">
        <v>336423964</v>
      </c>
      <c r="E14" s="5">
        <v>318756978</v>
      </c>
      <c r="F14" s="5">
        <v>385434219</v>
      </c>
      <c r="G14" s="5">
        <v>339784217</v>
      </c>
      <c r="H14" s="5">
        <v>304375469</v>
      </c>
      <c r="I14" s="5">
        <v>408575676</v>
      </c>
      <c r="J14" s="5">
        <v>371899806</v>
      </c>
      <c r="K14" s="5">
        <v>365466390</v>
      </c>
      <c r="L14" s="5">
        <v>393802654</v>
      </c>
      <c r="M14" s="5">
        <v>379411526</v>
      </c>
      <c r="N14" s="5">
        <v>4262071260</v>
      </c>
    </row>
    <row r="15" spans="1:14" ht="15" x14ac:dyDescent="0.2">
      <c r="A15" s="4" t="s">
        <v>25</v>
      </c>
      <c r="B15" s="5">
        <v>334487876</v>
      </c>
      <c r="C15" s="5">
        <v>337880607</v>
      </c>
      <c r="D15" s="5">
        <v>381064795</v>
      </c>
      <c r="E15" s="5">
        <v>332634277</v>
      </c>
      <c r="F15" s="5">
        <v>364003480</v>
      </c>
      <c r="G15" s="5">
        <v>344881031</v>
      </c>
      <c r="H15" s="5">
        <v>332847082</v>
      </c>
      <c r="I15" s="5">
        <v>388863729</v>
      </c>
      <c r="J15" s="5">
        <v>406573899</v>
      </c>
      <c r="K15" s="5">
        <v>380850873</v>
      </c>
      <c r="L15" s="5">
        <v>372376895</v>
      </c>
      <c r="M15" s="5">
        <v>408858627</v>
      </c>
      <c r="N15" s="5">
        <v>4385323171</v>
      </c>
    </row>
    <row r="16" spans="1:14" ht="15" x14ac:dyDescent="0.2">
      <c r="A16" s="4" t="s">
        <v>26</v>
      </c>
      <c r="B16" s="5">
        <v>15603956</v>
      </c>
      <c r="C16" s="5">
        <v>15943184</v>
      </c>
      <c r="D16" s="5">
        <v>16081780</v>
      </c>
      <c r="E16" s="5">
        <v>15337244</v>
      </c>
      <c r="F16" s="5">
        <v>15612895</v>
      </c>
      <c r="G16" s="5">
        <v>16417769</v>
      </c>
      <c r="H16" s="5">
        <v>16895215</v>
      </c>
      <c r="I16" s="5">
        <v>16351238</v>
      </c>
      <c r="J16" s="5">
        <v>15784842</v>
      </c>
      <c r="K16" s="5">
        <v>16738645</v>
      </c>
      <c r="L16" s="5">
        <v>18221140</v>
      </c>
      <c r="M16" s="5">
        <v>17907826</v>
      </c>
      <c r="N16" s="5">
        <v>196895734</v>
      </c>
    </row>
    <row r="17" spans="1:14" ht="15" x14ac:dyDescent="0.2">
      <c r="A17" s="4" t="s">
        <v>27</v>
      </c>
      <c r="B17" s="5">
        <v>6156612</v>
      </c>
      <c r="C17" s="5">
        <v>6237901</v>
      </c>
      <c r="D17" s="5">
        <v>6099018</v>
      </c>
      <c r="E17" s="5">
        <v>9531683</v>
      </c>
      <c r="F17" s="5">
        <v>5187938</v>
      </c>
      <c r="G17" s="5">
        <v>5753751</v>
      </c>
      <c r="H17" s="5">
        <v>5450013</v>
      </c>
      <c r="I17" s="5">
        <v>7227954</v>
      </c>
      <c r="J17" s="5">
        <v>6992025</v>
      </c>
      <c r="K17" s="5">
        <v>9666472</v>
      </c>
      <c r="L17" s="5">
        <v>9859948</v>
      </c>
      <c r="M17" s="5">
        <v>9113039</v>
      </c>
      <c r="N17" s="5">
        <v>87276354</v>
      </c>
    </row>
    <row r="18" spans="1:14" ht="15" x14ac:dyDescent="0.2">
      <c r="A18" s="4" t="s">
        <v>28</v>
      </c>
      <c r="B18" s="5">
        <v>3153004242</v>
      </c>
      <c r="C18" s="5">
        <v>3375096438</v>
      </c>
      <c r="D18" s="5">
        <v>3576382618</v>
      </c>
      <c r="E18" s="5">
        <v>3585943732</v>
      </c>
      <c r="F18" s="5">
        <v>3847988248</v>
      </c>
      <c r="G18" s="5">
        <v>3229049665</v>
      </c>
      <c r="H18" s="5">
        <v>3369519184</v>
      </c>
      <c r="I18" s="5">
        <v>3798286714</v>
      </c>
      <c r="J18" s="5">
        <v>3701182016</v>
      </c>
      <c r="K18" s="5">
        <v>3685846108</v>
      </c>
      <c r="L18" s="5">
        <v>3869325439</v>
      </c>
      <c r="M18" s="5">
        <v>3750061597</v>
      </c>
      <c r="N18" s="5">
        <v>42941686001</v>
      </c>
    </row>
    <row r="19" spans="1:14" ht="15" x14ac:dyDescent="0.2">
      <c r="A19" s="14" t="s">
        <v>52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ht="15" x14ac:dyDescent="0.2">
      <c r="A20" s="11" t="s">
        <v>50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</sheetData>
  <mergeCells count="3">
    <mergeCell ref="A1:N1"/>
    <mergeCell ref="A19:N19"/>
    <mergeCell ref="A20:N20"/>
  </mergeCells>
  <hyperlinks>
    <hyperlink ref="A19:N19" location="'Table of Contents'!A21" display="Back to Table of Contents" xr:uid="{2B36A261-DB35-4143-A381-682928BB4EF2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1"/>
  <dimension ref="A1:N21"/>
  <sheetViews>
    <sheetView workbookViewId="0">
      <selection sqref="A1:N1"/>
    </sheetView>
  </sheetViews>
  <sheetFormatPr defaultColWidth="0" defaultRowHeight="15" zeroHeight="1" x14ac:dyDescent="0.2"/>
  <cols>
    <col min="1" max="1" width="27.7109375" style="4" customWidth="1"/>
    <col min="2" max="2" width="16.140625" style="4" customWidth="1"/>
    <col min="3" max="3" width="15.5703125" style="4" customWidth="1"/>
    <col min="4" max="5" width="16" style="4" bestFit="1" customWidth="1"/>
    <col min="6" max="6" width="15.5703125" style="4" customWidth="1"/>
    <col min="7" max="13" width="16" style="4" bestFit="1" customWidth="1"/>
    <col min="14" max="14" width="17.28515625" style="4" bestFit="1" customWidth="1"/>
    <col min="15" max="16384" width="8.85546875" style="2" hidden="1"/>
  </cols>
  <sheetData>
    <row r="1" spans="1:14" s="10" customFormat="1" ht="18" x14ac:dyDescent="0.25">
      <c r="A1" s="13" t="s">
        <v>51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5.75" x14ac:dyDescent="0.25">
      <c r="A2" s="1" t="s">
        <v>53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</row>
    <row r="3" spans="1:14" x14ac:dyDescent="0.2">
      <c r="A3" s="4" t="s">
        <v>13</v>
      </c>
      <c r="B3" s="5">
        <v>1868684</v>
      </c>
      <c r="C3" s="5">
        <v>2725228</v>
      </c>
      <c r="D3" s="5">
        <v>2628652</v>
      </c>
      <c r="E3" s="5">
        <v>2108301</v>
      </c>
      <c r="F3" s="5">
        <v>2447947</v>
      </c>
      <c r="G3" s="5">
        <v>1718197</v>
      </c>
      <c r="H3" s="5">
        <v>1867620</v>
      </c>
      <c r="I3" s="5">
        <v>5238013</v>
      </c>
      <c r="J3" s="5">
        <v>3379806</v>
      </c>
      <c r="K3" s="5">
        <v>2529904</v>
      </c>
      <c r="L3" s="5">
        <v>2924917</v>
      </c>
      <c r="M3" s="5">
        <v>2156805</v>
      </c>
      <c r="N3" s="5">
        <v>31594074</v>
      </c>
    </row>
    <row r="4" spans="1:14" x14ac:dyDescent="0.2">
      <c r="A4" s="4" t="s">
        <v>14</v>
      </c>
      <c r="B4" s="5">
        <v>145134068</v>
      </c>
      <c r="C4" s="5">
        <v>139580197</v>
      </c>
      <c r="D4" s="5">
        <v>133208452</v>
      </c>
      <c r="E4" s="5">
        <v>139748771</v>
      </c>
      <c r="F4" s="5">
        <v>174858554</v>
      </c>
      <c r="G4" s="5">
        <v>166906644</v>
      </c>
      <c r="H4" s="5">
        <v>149054544</v>
      </c>
      <c r="I4" s="5">
        <v>204926773</v>
      </c>
      <c r="J4" s="5">
        <v>160572316</v>
      </c>
      <c r="K4" s="5">
        <v>166481273</v>
      </c>
      <c r="L4" s="5">
        <v>165966024</v>
      </c>
      <c r="M4" s="5">
        <v>167903490</v>
      </c>
      <c r="N4" s="5">
        <v>1914341106</v>
      </c>
    </row>
    <row r="5" spans="1:14" x14ac:dyDescent="0.2">
      <c r="A5" s="4" t="s">
        <v>15</v>
      </c>
      <c r="B5" s="5">
        <v>87199084</v>
      </c>
      <c r="C5" s="5">
        <v>90028820</v>
      </c>
      <c r="D5" s="5">
        <v>103739968</v>
      </c>
      <c r="E5" s="5">
        <v>64602710</v>
      </c>
      <c r="F5" s="5">
        <v>103482638</v>
      </c>
      <c r="G5" s="5">
        <v>122125024</v>
      </c>
      <c r="H5" s="5">
        <v>62763720</v>
      </c>
      <c r="I5" s="5">
        <v>52305999</v>
      </c>
      <c r="J5" s="5">
        <v>116242261</v>
      </c>
      <c r="K5" s="5">
        <v>84889663</v>
      </c>
      <c r="L5" s="5">
        <v>64480828</v>
      </c>
      <c r="M5" s="5">
        <v>143366997</v>
      </c>
      <c r="N5" s="5">
        <v>1095227712</v>
      </c>
    </row>
    <row r="6" spans="1:14" x14ac:dyDescent="0.2">
      <c r="A6" s="4" t="s">
        <v>16</v>
      </c>
      <c r="B6" s="5">
        <v>173168823</v>
      </c>
      <c r="C6" s="5">
        <v>181599686</v>
      </c>
      <c r="D6" s="5">
        <v>172498030</v>
      </c>
      <c r="E6" s="5">
        <v>166296807</v>
      </c>
      <c r="F6" s="5">
        <v>186854865</v>
      </c>
      <c r="G6" s="5">
        <v>158962016</v>
      </c>
      <c r="H6" s="5">
        <v>148698807</v>
      </c>
      <c r="I6" s="5">
        <v>188852252</v>
      </c>
      <c r="J6" s="5">
        <v>161301806</v>
      </c>
      <c r="K6" s="5">
        <v>169562579</v>
      </c>
      <c r="L6" s="5">
        <v>188552285</v>
      </c>
      <c r="M6" s="5">
        <v>179247363</v>
      </c>
      <c r="N6" s="5">
        <v>2075595319</v>
      </c>
    </row>
    <row r="7" spans="1:14" x14ac:dyDescent="0.2">
      <c r="A7" s="4" t="s">
        <v>17</v>
      </c>
      <c r="B7" s="5">
        <v>308324112</v>
      </c>
      <c r="C7" s="5">
        <v>324175040</v>
      </c>
      <c r="D7" s="5">
        <v>345582175</v>
      </c>
      <c r="E7" s="5">
        <v>310035887</v>
      </c>
      <c r="F7" s="5">
        <v>363659291</v>
      </c>
      <c r="G7" s="5">
        <v>325137676</v>
      </c>
      <c r="H7" s="5">
        <v>277987722</v>
      </c>
      <c r="I7" s="5">
        <v>355970873</v>
      </c>
      <c r="J7" s="5">
        <v>315042653</v>
      </c>
      <c r="K7" s="5">
        <v>310218289</v>
      </c>
      <c r="L7" s="5">
        <v>321686805</v>
      </c>
      <c r="M7" s="5">
        <v>315927985</v>
      </c>
      <c r="N7" s="5">
        <v>3873748508</v>
      </c>
    </row>
    <row r="8" spans="1:14" x14ac:dyDescent="0.2">
      <c r="A8" s="4" t="s">
        <v>18</v>
      </c>
      <c r="B8" s="5">
        <v>371038389</v>
      </c>
      <c r="C8" s="5">
        <v>357100708</v>
      </c>
      <c r="D8" s="5">
        <v>358694203</v>
      </c>
      <c r="E8" s="5">
        <v>339620227</v>
      </c>
      <c r="F8" s="5">
        <v>363538560</v>
      </c>
      <c r="G8" s="5">
        <v>334245253</v>
      </c>
      <c r="H8" s="5">
        <v>325657258</v>
      </c>
      <c r="I8" s="5">
        <v>365511040</v>
      </c>
      <c r="J8" s="5">
        <v>352385849</v>
      </c>
      <c r="K8" s="5">
        <v>363524990</v>
      </c>
      <c r="L8" s="5">
        <v>386881974</v>
      </c>
      <c r="M8" s="5">
        <v>338950033</v>
      </c>
      <c r="N8" s="5">
        <v>4257148484</v>
      </c>
    </row>
    <row r="9" spans="1:14" x14ac:dyDescent="0.2">
      <c r="A9" s="4" t="s">
        <v>19</v>
      </c>
      <c r="B9" s="5">
        <v>1429760259</v>
      </c>
      <c r="C9" s="5">
        <v>1471148250</v>
      </c>
      <c r="D9" s="5">
        <v>1569423203</v>
      </c>
      <c r="E9" s="5">
        <v>1761328632</v>
      </c>
      <c r="F9" s="5">
        <v>1623751889</v>
      </c>
      <c r="G9" s="5">
        <v>1344051588</v>
      </c>
      <c r="H9" s="5">
        <v>1463625466</v>
      </c>
      <c r="I9" s="5">
        <v>1578695620</v>
      </c>
      <c r="J9" s="5">
        <v>1456796205</v>
      </c>
      <c r="K9" s="5">
        <v>1531993617</v>
      </c>
      <c r="L9" s="5">
        <v>1502927945</v>
      </c>
      <c r="M9" s="5">
        <v>1482110645</v>
      </c>
      <c r="N9" s="5">
        <v>18215613319</v>
      </c>
    </row>
    <row r="10" spans="1:14" x14ac:dyDescent="0.2">
      <c r="A10" s="4" t="s">
        <v>20</v>
      </c>
      <c r="B10" s="5">
        <v>30759167</v>
      </c>
      <c r="C10" s="5">
        <v>31432524</v>
      </c>
      <c r="D10" s="5">
        <v>28647158</v>
      </c>
      <c r="E10" s="5">
        <v>33467767</v>
      </c>
      <c r="F10" s="5">
        <v>36840781</v>
      </c>
      <c r="G10" s="5">
        <v>32603373</v>
      </c>
      <c r="H10" s="5">
        <v>30591541</v>
      </c>
      <c r="I10" s="5">
        <v>32294065</v>
      </c>
      <c r="J10" s="5">
        <v>35493626</v>
      </c>
      <c r="K10" s="5">
        <v>31434646</v>
      </c>
      <c r="L10" s="5">
        <v>31172831</v>
      </c>
      <c r="M10" s="5">
        <v>28722620</v>
      </c>
      <c r="N10" s="5">
        <v>383460099</v>
      </c>
    </row>
    <row r="11" spans="1:14" x14ac:dyDescent="0.2">
      <c r="A11" s="4" t="s">
        <v>21</v>
      </c>
      <c r="B11" s="5">
        <v>234778608</v>
      </c>
      <c r="C11" s="5">
        <v>245644980</v>
      </c>
      <c r="D11" s="5">
        <v>241727008</v>
      </c>
      <c r="E11" s="5">
        <v>272663656</v>
      </c>
      <c r="F11" s="5">
        <v>270573755</v>
      </c>
      <c r="G11" s="5">
        <v>261243017</v>
      </c>
      <c r="H11" s="5">
        <v>237348169</v>
      </c>
      <c r="I11" s="5">
        <v>239910436</v>
      </c>
      <c r="J11" s="5">
        <v>239102253</v>
      </c>
      <c r="K11" s="5">
        <v>246582046</v>
      </c>
      <c r="L11" s="5">
        <v>263422130</v>
      </c>
      <c r="M11" s="5">
        <v>205128172</v>
      </c>
      <c r="N11" s="5">
        <v>2958124230</v>
      </c>
    </row>
    <row r="12" spans="1:14" x14ac:dyDescent="0.2">
      <c r="A12" s="4" t="s">
        <v>22</v>
      </c>
      <c r="B12" s="5">
        <v>33299619</v>
      </c>
      <c r="C12" s="5">
        <v>29849107</v>
      </c>
      <c r="D12" s="5">
        <v>29895819</v>
      </c>
      <c r="E12" s="5">
        <v>29473662</v>
      </c>
      <c r="F12" s="5">
        <v>31039713</v>
      </c>
      <c r="G12" s="5">
        <v>33701130</v>
      </c>
      <c r="H12" s="5">
        <v>36161291</v>
      </c>
      <c r="I12" s="5">
        <v>30292764</v>
      </c>
      <c r="J12" s="5">
        <v>27914682</v>
      </c>
      <c r="K12" s="5">
        <v>31134711</v>
      </c>
      <c r="L12" s="5">
        <v>29558504</v>
      </c>
      <c r="M12" s="5">
        <v>29875235</v>
      </c>
      <c r="N12" s="5">
        <v>372196237</v>
      </c>
    </row>
    <row r="13" spans="1:14" x14ac:dyDescent="0.2">
      <c r="A13" s="4" t="s">
        <v>23</v>
      </c>
      <c r="B13" s="5">
        <v>96503149</v>
      </c>
      <c r="C13" s="5">
        <v>96789236</v>
      </c>
      <c r="D13" s="5">
        <v>96319854</v>
      </c>
      <c r="E13" s="5">
        <v>93955852</v>
      </c>
      <c r="F13" s="5">
        <v>96855994</v>
      </c>
      <c r="G13" s="5">
        <v>100697636</v>
      </c>
      <c r="H13" s="5">
        <v>92386038</v>
      </c>
      <c r="I13" s="5">
        <v>104150063</v>
      </c>
      <c r="J13" s="5">
        <v>95526447</v>
      </c>
      <c r="K13" s="5">
        <v>99880997</v>
      </c>
      <c r="L13" s="5">
        <v>103845006</v>
      </c>
      <c r="M13" s="5">
        <v>123863336</v>
      </c>
      <c r="N13" s="5">
        <v>1200773608</v>
      </c>
    </row>
    <row r="14" spans="1:14" x14ac:dyDescent="0.2">
      <c r="A14" s="4" t="s">
        <v>24</v>
      </c>
      <c r="B14" s="5">
        <v>366000541</v>
      </c>
      <c r="C14" s="5">
        <v>391646383</v>
      </c>
      <c r="D14" s="5">
        <v>378481646</v>
      </c>
      <c r="E14" s="5">
        <v>364302346</v>
      </c>
      <c r="F14" s="5">
        <v>421380408</v>
      </c>
      <c r="G14" s="5">
        <v>387877418</v>
      </c>
      <c r="H14" s="5">
        <v>354948725</v>
      </c>
      <c r="I14" s="5">
        <v>436194878</v>
      </c>
      <c r="J14" s="5">
        <v>389422847</v>
      </c>
      <c r="K14" s="5">
        <v>408358845</v>
      </c>
      <c r="L14" s="5">
        <v>424509945</v>
      </c>
      <c r="M14" s="5">
        <v>398448616</v>
      </c>
      <c r="N14" s="5">
        <v>4721572598</v>
      </c>
    </row>
    <row r="15" spans="1:14" x14ac:dyDescent="0.2">
      <c r="A15" s="4" t="s">
        <v>25</v>
      </c>
      <c r="B15" s="5">
        <v>360480186</v>
      </c>
      <c r="C15" s="5">
        <v>365388129</v>
      </c>
      <c r="D15" s="5">
        <v>408859851</v>
      </c>
      <c r="E15" s="5">
        <v>356178105</v>
      </c>
      <c r="F15" s="5">
        <v>393248341</v>
      </c>
      <c r="G15" s="5">
        <v>391466364</v>
      </c>
      <c r="H15" s="5">
        <v>370824516</v>
      </c>
      <c r="I15" s="5">
        <v>419935647</v>
      </c>
      <c r="J15" s="5">
        <v>435305821</v>
      </c>
      <c r="K15" s="5">
        <v>403549045</v>
      </c>
      <c r="L15" s="5">
        <v>397052493</v>
      </c>
      <c r="M15" s="5">
        <v>432165254</v>
      </c>
      <c r="N15" s="5">
        <v>4734453752</v>
      </c>
    </row>
    <row r="16" spans="1:14" x14ac:dyDescent="0.2">
      <c r="A16" s="4" t="s">
        <v>26</v>
      </c>
      <c r="B16" s="5">
        <v>17570638</v>
      </c>
      <c r="C16" s="5">
        <v>17797611</v>
      </c>
      <c r="D16" s="5">
        <v>17151275</v>
      </c>
      <c r="E16" s="5">
        <v>16491897</v>
      </c>
      <c r="F16" s="5">
        <v>17412334</v>
      </c>
      <c r="G16" s="5">
        <v>17404361</v>
      </c>
      <c r="H16" s="5">
        <v>16825204</v>
      </c>
      <c r="I16" s="5">
        <v>17844489</v>
      </c>
      <c r="J16" s="5">
        <v>17125847</v>
      </c>
      <c r="K16" s="5">
        <v>17808060</v>
      </c>
      <c r="L16" s="5">
        <v>18349761</v>
      </c>
      <c r="M16" s="5">
        <v>19447750</v>
      </c>
      <c r="N16" s="5">
        <v>211229227</v>
      </c>
    </row>
    <row r="17" spans="1:14" x14ac:dyDescent="0.2">
      <c r="A17" s="4" t="s">
        <v>27</v>
      </c>
      <c r="B17" s="5">
        <v>50304153</v>
      </c>
      <c r="C17" s="5">
        <v>75578322</v>
      </c>
      <c r="D17" s="5">
        <v>60569783</v>
      </c>
      <c r="E17" s="5">
        <v>13838684</v>
      </c>
      <c r="F17" s="5">
        <v>14839844</v>
      </c>
      <c r="G17" s="5">
        <v>19469799</v>
      </c>
      <c r="H17" s="5">
        <v>23305104</v>
      </c>
      <c r="I17" s="5">
        <v>39315428</v>
      </c>
      <c r="J17" s="5">
        <v>37818405</v>
      </c>
      <c r="K17" s="5">
        <v>45362851</v>
      </c>
      <c r="L17" s="5">
        <v>65149777</v>
      </c>
      <c r="M17" s="5">
        <v>49609557</v>
      </c>
      <c r="N17" s="5">
        <v>495161707</v>
      </c>
    </row>
    <row r="18" spans="1:14" x14ac:dyDescent="0.2">
      <c r="A18" s="4" t="s">
        <v>28</v>
      </c>
      <c r="B18" s="5">
        <v>3706189480</v>
      </c>
      <c r="C18" s="5">
        <v>3820484221</v>
      </c>
      <c r="D18" s="5">
        <v>3947427077</v>
      </c>
      <c r="E18" s="5">
        <v>3964113304</v>
      </c>
      <c r="F18" s="5">
        <v>4100784914</v>
      </c>
      <c r="G18" s="5">
        <v>3697609496</v>
      </c>
      <c r="H18" s="5">
        <v>3592045725</v>
      </c>
      <c r="I18" s="5">
        <v>4071438340</v>
      </c>
      <c r="J18" s="5">
        <v>3843430824</v>
      </c>
      <c r="K18" s="5">
        <v>3913311516</v>
      </c>
      <c r="L18" s="5">
        <v>3966481225</v>
      </c>
      <c r="M18" s="5">
        <v>3916923858</v>
      </c>
      <c r="N18" s="5">
        <v>46540239980</v>
      </c>
    </row>
    <row r="19" spans="1:14" x14ac:dyDescent="0.2">
      <c r="A19" s="11" t="s">
        <v>78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</row>
    <row r="20" spans="1:14" x14ac:dyDescent="0.2">
      <c r="A20" s="14" t="s">
        <v>52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4" x14ac:dyDescent="0.2">
      <c r="A21" s="11" t="s">
        <v>50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</sheetData>
  <mergeCells count="4">
    <mergeCell ref="A1:N1"/>
    <mergeCell ref="A19:N19"/>
    <mergeCell ref="A20:N20"/>
    <mergeCell ref="A21:N21"/>
  </mergeCells>
  <hyperlinks>
    <hyperlink ref="A20:N20" location="'Table of Contents'!A22" display="Back to Table of Contents" xr:uid="{00000000-0004-0000-0200-000000000000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B732A-FABF-40AE-A08A-42DB8D49BF3D}">
  <sheetPr codeName="Sheet22"/>
  <dimension ref="A1:N21"/>
  <sheetViews>
    <sheetView workbookViewId="0">
      <selection sqref="A1:N1"/>
    </sheetView>
  </sheetViews>
  <sheetFormatPr defaultColWidth="0" defaultRowHeight="0" customHeight="1" zeroHeight="1" x14ac:dyDescent="0.2"/>
  <cols>
    <col min="1" max="1" width="27.7109375" style="4" customWidth="1"/>
    <col min="2" max="2" width="16.140625" style="4" customWidth="1"/>
    <col min="3" max="3" width="15.5703125" style="4" customWidth="1"/>
    <col min="4" max="5" width="16" style="4" bestFit="1" customWidth="1"/>
    <col min="6" max="6" width="15.5703125" style="4" customWidth="1"/>
    <col min="7" max="13" width="16" style="4" bestFit="1" customWidth="1"/>
    <col min="14" max="14" width="17.28515625" style="4" bestFit="1" customWidth="1"/>
    <col min="15" max="16384" width="8.85546875" style="2" hidden="1"/>
  </cols>
  <sheetData>
    <row r="1" spans="1:14" s="10" customFormat="1" ht="18" x14ac:dyDescent="0.25">
      <c r="A1" s="13" t="s">
        <v>73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5.75" x14ac:dyDescent="0.25">
      <c r="A2" s="1" t="s">
        <v>53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</row>
    <row r="3" spans="1:14" ht="15" x14ac:dyDescent="0.2">
      <c r="A3" s="4" t="s">
        <v>13</v>
      </c>
      <c r="B3" s="5">
        <v>1930848</v>
      </c>
      <c r="C3" s="5">
        <v>2410745</v>
      </c>
      <c r="D3" s="5">
        <v>2706427</v>
      </c>
      <c r="E3" s="5">
        <v>2177860</v>
      </c>
      <c r="F3" s="5">
        <v>2573350</v>
      </c>
      <c r="G3" s="5">
        <v>1556201</v>
      </c>
      <c r="H3" s="5">
        <v>2064573</v>
      </c>
      <c r="I3" s="5">
        <v>3513393</v>
      </c>
      <c r="J3" s="5">
        <v>3166635</v>
      </c>
      <c r="K3" s="5">
        <v>2706117</v>
      </c>
      <c r="L3" s="5">
        <v>2774550</v>
      </c>
      <c r="M3" s="5">
        <v>2006685</v>
      </c>
      <c r="N3" s="5">
        <v>29587384</v>
      </c>
    </row>
    <row r="4" spans="1:14" ht="15" x14ac:dyDescent="0.2">
      <c r="A4" s="4" t="s">
        <v>14</v>
      </c>
      <c r="B4" s="5">
        <v>185066713</v>
      </c>
      <c r="C4" s="5">
        <v>157368732</v>
      </c>
      <c r="D4" s="5">
        <v>174725810</v>
      </c>
      <c r="E4" s="5">
        <v>152582881</v>
      </c>
      <c r="F4" s="5">
        <v>180552117</v>
      </c>
      <c r="G4" s="5">
        <v>173344237</v>
      </c>
      <c r="H4" s="5">
        <v>156131987</v>
      </c>
      <c r="I4" s="5">
        <v>157503737</v>
      </c>
      <c r="J4" s="5">
        <v>143670600</v>
      </c>
      <c r="K4" s="5">
        <v>164930301</v>
      </c>
      <c r="L4" s="5">
        <v>153376657</v>
      </c>
      <c r="M4" s="5">
        <v>161506196</v>
      </c>
      <c r="N4" s="5">
        <v>1960759968</v>
      </c>
    </row>
    <row r="5" spans="1:14" ht="15" x14ac:dyDescent="0.2">
      <c r="A5" s="4" t="s">
        <v>15</v>
      </c>
      <c r="B5" s="5">
        <v>88181332</v>
      </c>
      <c r="C5" s="5">
        <v>78318243</v>
      </c>
      <c r="D5" s="5">
        <v>136020894</v>
      </c>
      <c r="E5" s="5">
        <v>65104753</v>
      </c>
      <c r="F5" s="5">
        <v>60747018</v>
      </c>
      <c r="G5" s="5">
        <v>85647651</v>
      </c>
      <c r="H5" s="5">
        <v>68578275</v>
      </c>
      <c r="I5" s="5">
        <v>72526113</v>
      </c>
      <c r="J5" s="5">
        <v>111370467</v>
      </c>
      <c r="K5" s="5">
        <v>69552608</v>
      </c>
      <c r="L5" s="5">
        <v>78195267</v>
      </c>
      <c r="M5" s="5">
        <v>113321787</v>
      </c>
      <c r="N5" s="5">
        <v>1027564408</v>
      </c>
    </row>
    <row r="6" spans="1:14" ht="15" x14ac:dyDescent="0.2">
      <c r="A6" s="4" t="s">
        <v>16</v>
      </c>
      <c r="B6" s="5">
        <v>181460853</v>
      </c>
      <c r="C6" s="5">
        <v>190895332</v>
      </c>
      <c r="D6" s="5">
        <v>192480271</v>
      </c>
      <c r="E6" s="5">
        <v>180919314</v>
      </c>
      <c r="F6" s="5">
        <v>194870895</v>
      </c>
      <c r="G6" s="5">
        <v>170665455</v>
      </c>
      <c r="H6" s="5">
        <v>174543227</v>
      </c>
      <c r="I6" s="5">
        <v>185655784</v>
      </c>
      <c r="J6" s="5">
        <v>182751490</v>
      </c>
      <c r="K6" s="5">
        <v>174790611</v>
      </c>
      <c r="L6" s="5">
        <v>192038648</v>
      </c>
      <c r="M6" s="5">
        <v>191027438</v>
      </c>
      <c r="N6" s="5">
        <v>2212099318</v>
      </c>
    </row>
    <row r="7" spans="1:14" ht="15" x14ac:dyDescent="0.2">
      <c r="A7" s="4" t="s">
        <v>17</v>
      </c>
      <c r="B7" s="5">
        <v>305249665</v>
      </c>
      <c r="C7" s="5">
        <v>309866592</v>
      </c>
      <c r="D7" s="5">
        <v>347149337</v>
      </c>
      <c r="E7" s="5">
        <v>328048893</v>
      </c>
      <c r="F7" s="5">
        <v>338743059</v>
      </c>
      <c r="G7" s="5">
        <v>308170860</v>
      </c>
      <c r="H7" s="5">
        <v>304484069</v>
      </c>
      <c r="I7" s="5">
        <v>307066655</v>
      </c>
      <c r="J7" s="5">
        <v>336432605</v>
      </c>
      <c r="K7" s="5">
        <v>303549822</v>
      </c>
      <c r="L7" s="5">
        <v>347966359</v>
      </c>
      <c r="M7" s="5">
        <v>315636419</v>
      </c>
      <c r="N7" s="5">
        <v>3852364335</v>
      </c>
    </row>
    <row r="8" spans="1:14" ht="15" x14ac:dyDescent="0.2">
      <c r="A8" s="4" t="s">
        <v>18</v>
      </c>
      <c r="B8" s="5">
        <v>362859859</v>
      </c>
      <c r="C8" s="5">
        <v>334790981</v>
      </c>
      <c r="D8" s="5">
        <v>342928619</v>
      </c>
      <c r="E8" s="5">
        <v>316011476</v>
      </c>
      <c r="F8" s="5">
        <v>347008712</v>
      </c>
      <c r="G8" s="5">
        <v>320109293</v>
      </c>
      <c r="H8" s="5">
        <v>327608125</v>
      </c>
      <c r="I8" s="5">
        <v>332636185</v>
      </c>
      <c r="J8" s="5">
        <v>358961932</v>
      </c>
      <c r="K8" s="5">
        <v>349536190</v>
      </c>
      <c r="L8" s="5">
        <v>334295351</v>
      </c>
      <c r="M8" s="5">
        <v>354294900</v>
      </c>
      <c r="N8" s="5">
        <v>4081041623</v>
      </c>
    </row>
    <row r="9" spans="1:14" ht="15" x14ac:dyDescent="0.2">
      <c r="A9" s="4" t="s">
        <v>19</v>
      </c>
      <c r="B9" s="5">
        <v>1461699411</v>
      </c>
      <c r="C9" s="5">
        <v>1420004186</v>
      </c>
      <c r="D9" s="5">
        <v>1534793783</v>
      </c>
      <c r="E9" s="5">
        <v>1791509450</v>
      </c>
      <c r="F9" s="5">
        <v>1627201800</v>
      </c>
      <c r="G9" s="5">
        <v>1356798729</v>
      </c>
      <c r="H9" s="5">
        <v>1508422244</v>
      </c>
      <c r="I9" s="5">
        <v>1538038610</v>
      </c>
      <c r="J9" s="5">
        <v>1526063717</v>
      </c>
      <c r="K9" s="5">
        <v>1563004446</v>
      </c>
      <c r="L9" s="5">
        <v>1506367498</v>
      </c>
      <c r="M9" s="5">
        <v>1515267288</v>
      </c>
      <c r="N9" s="5">
        <v>18349171162</v>
      </c>
    </row>
    <row r="10" spans="1:14" ht="15" x14ac:dyDescent="0.2">
      <c r="A10" s="4" t="s">
        <v>20</v>
      </c>
      <c r="B10" s="5">
        <v>35983933</v>
      </c>
      <c r="C10" s="5">
        <v>30814716</v>
      </c>
      <c r="D10" s="5">
        <v>33297970</v>
      </c>
      <c r="E10" s="5">
        <v>35782677</v>
      </c>
      <c r="F10" s="5">
        <v>44657019</v>
      </c>
      <c r="G10" s="5">
        <v>37631593</v>
      </c>
      <c r="H10" s="5">
        <v>34760817</v>
      </c>
      <c r="I10" s="5">
        <v>44653034</v>
      </c>
      <c r="J10" s="5">
        <v>38237340</v>
      </c>
      <c r="K10" s="5">
        <v>40141893</v>
      </c>
      <c r="L10" s="5">
        <v>40950576</v>
      </c>
      <c r="M10" s="5">
        <v>40489450</v>
      </c>
      <c r="N10" s="5">
        <v>457401018</v>
      </c>
    </row>
    <row r="11" spans="1:14" ht="15" x14ac:dyDescent="0.2">
      <c r="A11" s="4" t="s">
        <v>21</v>
      </c>
      <c r="B11" s="5">
        <v>237267157</v>
      </c>
      <c r="C11" s="5">
        <v>250928428</v>
      </c>
      <c r="D11" s="5">
        <v>252465305</v>
      </c>
      <c r="E11" s="5">
        <v>266468616</v>
      </c>
      <c r="F11" s="5">
        <v>283054039</v>
      </c>
      <c r="G11" s="5">
        <v>262058835</v>
      </c>
      <c r="H11" s="5">
        <v>231189963</v>
      </c>
      <c r="I11" s="5">
        <v>255674837</v>
      </c>
      <c r="J11" s="5">
        <v>254488843</v>
      </c>
      <c r="K11" s="5">
        <v>257495396</v>
      </c>
      <c r="L11" s="5">
        <v>282299993</v>
      </c>
      <c r="M11" s="5">
        <v>253477714</v>
      </c>
      <c r="N11" s="5">
        <v>3086869126</v>
      </c>
    </row>
    <row r="12" spans="1:14" ht="15" x14ac:dyDescent="0.2">
      <c r="A12" s="4" t="s">
        <v>22</v>
      </c>
      <c r="B12" s="5">
        <v>36400801</v>
      </c>
      <c r="C12" s="5">
        <v>32067077</v>
      </c>
      <c r="D12" s="5">
        <v>32674800</v>
      </c>
      <c r="E12" s="5">
        <v>34034919</v>
      </c>
      <c r="F12" s="5">
        <v>34321115</v>
      </c>
      <c r="G12" s="5">
        <v>17357686</v>
      </c>
      <c r="H12" s="5">
        <v>26723753</v>
      </c>
      <c r="I12" s="5">
        <v>28309838</v>
      </c>
      <c r="J12" s="5">
        <v>29648009</v>
      </c>
      <c r="K12" s="5">
        <v>29937990</v>
      </c>
      <c r="L12" s="5">
        <v>32960742</v>
      </c>
      <c r="M12" s="5">
        <v>11915045</v>
      </c>
      <c r="N12" s="5">
        <v>346351775</v>
      </c>
    </row>
    <row r="13" spans="1:14" ht="15" x14ac:dyDescent="0.2">
      <c r="A13" s="4" t="s">
        <v>23</v>
      </c>
      <c r="B13" s="5">
        <v>100101709</v>
      </c>
      <c r="C13" s="5">
        <v>105208490</v>
      </c>
      <c r="D13" s="5">
        <v>99190850</v>
      </c>
      <c r="E13" s="5">
        <v>99695002</v>
      </c>
      <c r="F13" s="5">
        <v>105766615</v>
      </c>
      <c r="G13" s="5">
        <v>103640961</v>
      </c>
      <c r="H13" s="5">
        <v>102654827</v>
      </c>
      <c r="I13" s="5">
        <v>107469016</v>
      </c>
      <c r="J13" s="5">
        <v>115477773</v>
      </c>
      <c r="K13" s="5">
        <v>106099800</v>
      </c>
      <c r="L13" s="5">
        <v>102234951</v>
      </c>
      <c r="M13" s="5">
        <v>109075991</v>
      </c>
      <c r="N13" s="5">
        <v>1256615985</v>
      </c>
    </row>
    <row r="14" spans="1:14" ht="15" x14ac:dyDescent="0.2">
      <c r="A14" s="4" t="s">
        <v>24</v>
      </c>
      <c r="B14" s="5">
        <v>390221689</v>
      </c>
      <c r="C14" s="5">
        <v>407352069</v>
      </c>
      <c r="D14" s="5">
        <v>418692269</v>
      </c>
      <c r="E14" s="5">
        <v>385262823</v>
      </c>
      <c r="F14" s="5">
        <v>430227032</v>
      </c>
      <c r="G14" s="5">
        <v>408807058</v>
      </c>
      <c r="H14" s="5">
        <v>380450810</v>
      </c>
      <c r="I14" s="5">
        <v>442746585</v>
      </c>
      <c r="J14" s="5">
        <v>425948585</v>
      </c>
      <c r="K14" s="5">
        <v>419429632</v>
      </c>
      <c r="L14" s="5">
        <v>435990151</v>
      </c>
      <c r="M14" s="5">
        <v>420071927</v>
      </c>
      <c r="N14" s="5">
        <v>4965200630</v>
      </c>
    </row>
    <row r="15" spans="1:14" ht="15" x14ac:dyDescent="0.2">
      <c r="A15" s="4" t="s">
        <v>25</v>
      </c>
      <c r="B15" s="5">
        <v>380645016</v>
      </c>
      <c r="C15" s="5">
        <v>383726897</v>
      </c>
      <c r="D15" s="5">
        <v>421088575</v>
      </c>
      <c r="E15" s="5">
        <v>378735427</v>
      </c>
      <c r="F15" s="5">
        <v>418589705</v>
      </c>
      <c r="G15" s="5">
        <v>416917779</v>
      </c>
      <c r="H15" s="5">
        <v>388340817</v>
      </c>
      <c r="I15" s="5">
        <v>435573218</v>
      </c>
      <c r="J15" s="5">
        <v>453550224</v>
      </c>
      <c r="K15" s="5">
        <v>422556995</v>
      </c>
      <c r="L15" s="5">
        <v>411452508</v>
      </c>
      <c r="M15" s="5">
        <v>437834666</v>
      </c>
      <c r="N15" s="5">
        <v>4949011827</v>
      </c>
    </row>
    <row r="16" spans="1:14" ht="15" x14ac:dyDescent="0.2">
      <c r="A16" s="4" t="s">
        <v>26</v>
      </c>
      <c r="B16" s="5">
        <v>19420956</v>
      </c>
      <c r="C16" s="5">
        <v>18127953</v>
      </c>
      <c r="D16" s="5">
        <v>19187397</v>
      </c>
      <c r="E16" s="5">
        <v>15689162</v>
      </c>
      <c r="F16" s="5">
        <v>17687750</v>
      </c>
      <c r="G16" s="5">
        <v>17030970</v>
      </c>
      <c r="H16" s="5">
        <v>19572480</v>
      </c>
      <c r="I16" s="5">
        <v>16055422</v>
      </c>
      <c r="J16" s="5">
        <v>17916121</v>
      </c>
      <c r="K16" s="5">
        <v>18546948</v>
      </c>
      <c r="L16" s="5">
        <v>19200691</v>
      </c>
      <c r="M16" s="5">
        <v>20246068</v>
      </c>
      <c r="N16" s="5">
        <v>218681918</v>
      </c>
    </row>
    <row r="17" spans="1:14" ht="15" x14ac:dyDescent="0.2">
      <c r="A17" s="4" t="s">
        <v>27</v>
      </c>
      <c r="B17" s="5">
        <v>82967908</v>
      </c>
      <c r="C17" s="5">
        <v>80618696</v>
      </c>
      <c r="D17" s="5">
        <v>64252067</v>
      </c>
      <c r="E17" s="5">
        <v>13254813</v>
      </c>
      <c r="F17" s="5">
        <v>15092999</v>
      </c>
      <c r="G17" s="5">
        <v>15336688</v>
      </c>
      <c r="H17" s="5">
        <v>43864211</v>
      </c>
      <c r="I17" s="5">
        <v>32402208</v>
      </c>
      <c r="J17" s="5">
        <v>26873111</v>
      </c>
      <c r="K17" s="5">
        <v>25846015</v>
      </c>
      <c r="L17" s="5">
        <v>53584314</v>
      </c>
      <c r="M17" s="5">
        <v>40893877</v>
      </c>
      <c r="N17" s="5">
        <v>494986907</v>
      </c>
    </row>
    <row r="18" spans="1:14" ht="15" x14ac:dyDescent="0.2">
      <c r="A18" s="4" t="s">
        <v>28</v>
      </c>
      <c r="B18" s="5">
        <v>3869457850</v>
      </c>
      <c r="C18" s="5">
        <v>3802499137</v>
      </c>
      <c r="D18" s="5">
        <v>4071654374</v>
      </c>
      <c r="E18" s="5">
        <v>4065278066</v>
      </c>
      <c r="F18" s="5">
        <v>4101093225</v>
      </c>
      <c r="G18" s="5">
        <v>3695073996</v>
      </c>
      <c r="H18" s="5">
        <v>3769390178</v>
      </c>
      <c r="I18" s="5">
        <v>3959824635</v>
      </c>
      <c r="J18" s="5">
        <v>4024557452</v>
      </c>
      <c r="K18" s="5">
        <v>3948124764</v>
      </c>
      <c r="L18" s="5">
        <v>3993688256</v>
      </c>
      <c r="M18" s="5">
        <v>3987065451</v>
      </c>
      <c r="N18" s="5">
        <v>47287707384</v>
      </c>
    </row>
    <row r="19" spans="1:14" ht="15" x14ac:dyDescent="0.2">
      <c r="A19" s="11" t="s">
        <v>74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</row>
    <row r="20" spans="1:14" ht="15" x14ac:dyDescent="0.2">
      <c r="A20" s="14" t="s">
        <v>52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4" ht="15" x14ac:dyDescent="0.2">
      <c r="A21" s="11" t="s">
        <v>50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</sheetData>
  <mergeCells count="4">
    <mergeCell ref="A1:N1"/>
    <mergeCell ref="A19:N19"/>
    <mergeCell ref="A20:N20"/>
    <mergeCell ref="A21:N21"/>
  </mergeCells>
  <hyperlinks>
    <hyperlink ref="A20:N20" location="'Table of Contents'!A23" display="Back to Table of Contents" xr:uid="{61863EF6-0777-4D2D-BBB6-75A63D99B073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1710F-AC04-43AB-A0DB-5FD3D28544FD}">
  <sheetPr codeName="Sheet23"/>
  <dimension ref="A1:N21"/>
  <sheetViews>
    <sheetView workbookViewId="0">
      <selection sqref="A1:N1"/>
    </sheetView>
  </sheetViews>
  <sheetFormatPr defaultColWidth="0" defaultRowHeight="0" customHeight="1" zeroHeight="1" x14ac:dyDescent="0.2"/>
  <cols>
    <col min="1" max="1" width="27.7109375" style="2" customWidth="1"/>
    <col min="2" max="2" width="16.140625" style="2" customWidth="1"/>
    <col min="3" max="3" width="15.5703125" style="2" customWidth="1"/>
    <col min="4" max="5" width="16" style="2" bestFit="1" customWidth="1"/>
    <col min="6" max="6" width="15.5703125" style="2" customWidth="1"/>
    <col min="7" max="13" width="16" style="2" bestFit="1" customWidth="1"/>
    <col min="14" max="14" width="17.28515625" style="2" bestFit="1" customWidth="1"/>
    <col min="15" max="16384" width="8.85546875" style="2" hidden="1"/>
  </cols>
  <sheetData>
    <row r="1" spans="1:14" s="10" customFormat="1" ht="18" x14ac:dyDescent="0.25">
      <c r="A1" s="13" t="s">
        <v>76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5.75" x14ac:dyDescent="0.25">
      <c r="A2" s="1" t="s">
        <v>53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</row>
    <row r="3" spans="1:14" ht="15" x14ac:dyDescent="0.2">
      <c r="A3" s="4" t="s">
        <v>13</v>
      </c>
      <c r="B3" s="5">
        <v>1848334</v>
      </c>
      <c r="C3" s="5">
        <v>2428693</v>
      </c>
      <c r="D3" s="5">
        <v>2945406</v>
      </c>
      <c r="E3" s="5">
        <v>2415990</v>
      </c>
      <c r="F3" s="5">
        <v>2744357</v>
      </c>
      <c r="G3" s="5">
        <v>1750346</v>
      </c>
      <c r="H3" s="5">
        <v>2079221</v>
      </c>
      <c r="I3" s="5">
        <v>3334056</v>
      </c>
      <c r="J3" s="5">
        <v>3184853</v>
      </c>
      <c r="K3" s="5">
        <v>2808790</v>
      </c>
      <c r="L3" s="5">
        <v>2816262</v>
      </c>
      <c r="M3" s="5">
        <v>2331949</v>
      </c>
      <c r="N3" s="5">
        <v>30688257</v>
      </c>
    </row>
    <row r="4" spans="1:14" ht="15" x14ac:dyDescent="0.2">
      <c r="A4" s="4" t="s">
        <v>14</v>
      </c>
      <c r="B4" s="5">
        <v>159227087</v>
      </c>
      <c r="C4" s="5">
        <v>152565289</v>
      </c>
      <c r="D4" s="5">
        <v>141635776</v>
      </c>
      <c r="E4" s="5">
        <v>140041868</v>
      </c>
      <c r="F4" s="5">
        <v>155127130</v>
      </c>
      <c r="G4" s="5">
        <v>167038923</v>
      </c>
      <c r="H4" s="5">
        <v>133078867</v>
      </c>
      <c r="I4" s="5">
        <v>175861268</v>
      </c>
      <c r="J4" s="5">
        <v>164589625</v>
      </c>
      <c r="K4" s="5">
        <v>150119868</v>
      </c>
      <c r="L4" s="5">
        <v>177939379</v>
      </c>
      <c r="M4" s="5">
        <v>162167102</v>
      </c>
      <c r="N4" s="5">
        <v>1879392182</v>
      </c>
    </row>
    <row r="5" spans="1:14" ht="15" x14ac:dyDescent="0.2">
      <c r="A5" s="4" t="s">
        <v>15</v>
      </c>
      <c r="B5" s="5">
        <v>88195930</v>
      </c>
      <c r="C5" s="5">
        <v>105383448</v>
      </c>
      <c r="D5" s="5">
        <v>131694858</v>
      </c>
      <c r="E5" s="5">
        <v>59414749</v>
      </c>
      <c r="F5" s="5">
        <v>99553818</v>
      </c>
      <c r="G5" s="5">
        <v>133676478</v>
      </c>
      <c r="H5" s="5">
        <v>80114381</v>
      </c>
      <c r="I5" s="5">
        <v>81552372</v>
      </c>
      <c r="J5" s="5">
        <v>140703678</v>
      </c>
      <c r="K5" s="5">
        <v>46820512</v>
      </c>
      <c r="L5" s="5">
        <v>93590559</v>
      </c>
      <c r="M5" s="5">
        <v>175321834</v>
      </c>
      <c r="N5" s="5">
        <v>1236022617</v>
      </c>
    </row>
    <row r="6" spans="1:14" ht="15" x14ac:dyDescent="0.2">
      <c r="A6" s="4" t="s">
        <v>16</v>
      </c>
      <c r="B6" s="5">
        <v>181849610</v>
      </c>
      <c r="C6" s="5">
        <v>184843145</v>
      </c>
      <c r="D6" s="5">
        <v>198144509</v>
      </c>
      <c r="E6" s="5">
        <v>188635487</v>
      </c>
      <c r="F6" s="5">
        <v>197120876</v>
      </c>
      <c r="G6" s="5">
        <v>171433881</v>
      </c>
      <c r="H6" s="5">
        <v>154181787</v>
      </c>
      <c r="I6" s="5">
        <v>183298974</v>
      </c>
      <c r="J6" s="5">
        <v>172685722</v>
      </c>
      <c r="K6" s="5">
        <v>181576905</v>
      </c>
      <c r="L6" s="5">
        <v>194393951</v>
      </c>
      <c r="M6" s="5">
        <v>195801423</v>
      </c>
      <c r="N6" s="5">
        <v>2203966270</v>
      </c>
    </row>
    <row r="7" spans="1:14" ht="15" x14ac:dyDescent="0.2">
      <c r="A7" s="4" t="s">
        <v>17</v>
      </c>
      <c r="B7" s="5">
        <v>302399374</v>
      </c>
      <c r="C7" s="5">
        <v>335844911</v>
      </c>
      <c r="D7" s="5">
        <v>376211303</v>
      </c>
      <c r="E7" s="5">
        <v>330379183</v>
      </c>
      <c r="F7" s="5">
        <v>353850736</v>
      </c>
      <c r="G7" s="5">
        <v>360502020</v>
      </c>
      <c r="H7" s="5">
        <v>293283915</v>
      </c>
      <c r="I7" s="5">
        <v>373475212</v>
      </c>
      <c r="J7" s="5">
        <v>359876942</v>
      </c>
      <c r="K7" s="5">
        <v>320745817</v>
      </c>
      <c r="L7" s="5">
        <v>331174127</v>
      </c>
      <c r="M7" s="5">
        <v>349219264</v>
      </c>
      <c r="N7" s="5">
        <v>4086962804</v>
      </c>
    </row>
    <row r="8" spans="1:14" ht="15" x14ac:dyDescent="0.2">
      <c r="A8" s="4" t="s">
        <v>18</v>
      </c>
      <c r="B8" s="5">
        <v>329225565</v>
      </c>
      <c r="C8" s="5">
        <v>353289639</v>
      </c>
      <c r="D8" s="5">
        <v>369813561</v>
      </c>
      <c r="E8" s="5">
        <v>291617113</v>
      </c>
      <c r="F8" s="5">
        <v>363763768</v>
      </c>
      <c r="G8" s="5">
        <v>317739787</v>
      </c>
      <c r="H8" s="5">
        <v>302703408</v>
      </c>
      <c r="I8" s="5">
        <v>368041696</v>
      </c>
      <c r="J8" s="5">
        <v>355669790</v>
      </c>
      <c r="K8" s="5">
        <v>343686220</v>
      </c>
      <c r="L8" s="5">
        <v>360907454</v>
      </c>
      <c r="M8" s="5">
        <v>379408803</v>
      </c>
      <c r="N8" s="5">
        <v>4135866804</v>
      </c>
    </row>
    <row r="9" spans="1:14" ht="15" x14ac:dyDescent="0.2">
      <c r="A9" s="4" t="s">
        <v>19</v>
      </c>
      <c r="B9" s="5">
        <v>1469349519</v>
      </c>
      <c r="C9" s="5">
        <v>1525435128</v>
      </c>
      <c r="D9" s="5">
        <v>1632134156</v>
      </c>
      <c r="E9" s="5">
        <v>1814028099</v>
      </c>
      <c r="F9" s="5">
        <v>1715499220</v>
      </c>
      <c r="G9" s="5">
        <v>1375081054</v>
      </c>
      <c r="H9" s="5">
        <v>1450449751</v>
      </c>
      <c r="I9" s="5">
        <v>1563341634</v>
      </c>
      <c r="J9" s="5">
        <v>1588105149</v>
      </c>
      <c r="K9" s="5">
        <v>1606397874</v>
      </c>
      <c r="L9" s="5">
        <v>1545525689</v>
      </c>
      <c r="M9" s="5">
        <v>1591185804</v>
      </c>
      <c r="N9" s="5">
        <v>18876533077</v>
      </c>
    </row>
    <row r="10" spans="1:14" ht="15" x14ac:dyDescent="0.2">
      <c r="A10" s="4" t="s">
        <v>20</v>
      </c>
      <c r="B10" s="5">
        <v>40045613</v>
      </c>
      <c r="C10" s="5">
        <v>45745121</v>
      </c>
      <c r="D10" s="5">
        <v>65329653</v>
      </c>
      <c r="E10" s="5">
        <v>44192310</v>
      </c>
      <c r="F10" s="5">
        <v>58431703</v>
      </c>
      <c r="G10" s="5">
        <v>45478705</v>
      </c>
      <c r="H10" s="5">
        <v>40216297</v>
      </c>
      <c r="I10" s="5">
        <v>48694871</v>
      </c>
      <c r="J10" s="5">
        <v>38773504</v>
      </c>
      <c r="K10" s="5">
        <v>44906786</v>
      </c>
      <c r="L10" s="5">
        <v>62140885</v>
      </c>
      <c r="M10" s="5">
        <v>60217889</v>
      </c>
      <c r="N10" s="5">
        <v>594173337</v>
      </c>
    </row>
    <row r="11" spans="1:14" ht="15" x14ac:dyDescent="0.2">
      <c r="A11" s="4" t="s">
        <v>21</v>
      </c>
      <c r="B11" s="5">
        <v>256530338</v>
      </c>
      <c r="C11" s="5">
        <v>268167162</v>
      </c>
      <c r="D11" s="5">
        <v>270782616</v>
      </c>
      <c r="E11" s="5">
        <v>268872594</v>
      </c>
      <c r="F11" s="5">
        <v>317135313</v>
      </c>
      <c r="G11" s="5">
        <v>283269204</v>
      </c>
      <c r="H11" s="5">
        <v>258739547</v>
      </c>
      <c r="I11" s="5">
        <v>294880461</v>
      </c>
      <c r="J11" s="5">
        <v>271322959</v>
      </c>
      <c r="K11" s="5">
        <v>280653187</v>
      </c>
      <c r="L11" s="5">
        <v>287491301</v>
      </c>
      <c r="M11" s="5">
        <v>247136531</v>
      </c>
      <c r="N11" s="5">
        <v>3304981213</v>
      </c>
    </row>
    <row r="12" spans="1:14" ht="15" x14ac:dyDescent="0.2">
      <c r="A12" s="4" t="s">
        <v>22</v>
      </c>
      <c r="B12" s="5">
        <v>33174246</v>
      </c>
      <c r="C12" s="5">
        <v>33820910</v>
      </c>
      <c r="D12" s="5">
        <v>31992979</v>
      </c>
      <c r="E12" s="5">
        <v>32537051</v>
      </c>
      <c r="F12" s="5">
        <v>35369216</v>
      </c>
      <c r="G12" s="5">
        <v>36641417</v>
      </c>
      <c r="H12" s="5">
        <v>34918275</v>
      </c>
      <c r="I12" s="5">
        <v>30501022</v>
      </c>
      <c r="J12" s="5">
        <v>25334977</v>
      </c>
      <c r="K12" s="5">
        <v>34991266</v>
      </c>
      <c r="L12" s="5">
        <v>34548921</v>
      </c>
      <c r="M12" s="5">
        <v>32173534</v>
      </c>
      <c r="N12" s="5">
        <v>396003814</v>
      </c>
    </row>
    <row r="13" spans="1:14" ht="15" x14ac:dyDescent="0.2">
      <c r="A13" s="4" t="s">
        <v>23</v>
      </c>
      <c r="B13" s="5">
        <v>111391707</v>
      </c>
      <c r="C13" s="5">
        <v>102888436</v>
      </c>
      <c r="D13" s="5">
        <v>119018642</v>
      </c>
      <c r="E13" s="5">
        <v>102396018</v>
      </c>
      <c r="F13" s="5">
        <v>112814055</v>
      </c>
      <c r="G13" s="5">
        <v>106616407</v>
      </c>
      <c r="H13" s="5">
        <v>104676231</v>
      </c>
      <c r="I13" s="5">
        <v>115384787</v>
      </c>
      <c r="J13" s="5">
        <v>119508530</v>
      </c>
      <c r="K13" s="5">
        <v>110076120</v>
      </c>
      <c r="L13" s="5">
        <v>109450342</v>
      </c>
      <c r="M13" s="5">
        <v>122638227</v>
      </c>
      <c r="N13" s="5">
        <v>1336859502</v>
      </c>
    </row>
    <row r="14" spans="1:14" ht="15" x14ac:dyDescent="0.2">
      <c r="A14" s="4" t="s">
        <v>24</v>
      </c>
      <c r="B14" s="5">
        <v>406669087</v>
      </c>
      <c r="C14" s="5">
        <v>432220795</v>
      </c>
      <c r="D14" s="5">
        <v>436410603</v>
      </c>
      <c r="E14" s="5">
        <v>398307606</v>
      </c>
      <c r="F14" s="5">
        <v>479739443</v>
      </c>
      <c r="G14" s="5">
        <v>409957459</v>
      </c>
      <c r="H14" s="5">
        <v>396752926</v>
      </c>
      <c r="I14" s="5">
        <v>470543671</v>
      </c>
      <c r="J14" s="5">
        <v>456105470</v>
      </c>
      <c r="K14" s="5">
        <v>431836771</v>
      </c>
      <c r="L14" s="5">
        <v>468915621</v>
      </c>
      <c r="M14" s="5">
        <v>464893385</v>
      </c>
      <c r="N14" s="5">
        <v>5252352837</v>
      </c>
    </row>
    <row r="15" spans="1:14" ht="15" x14ac:dyDescent="0.2">
      <c r="A15" s="4" t="s">
        <v>25</v>
      </c>
      <c r="B15" s="5">
        <v>402959870</v>
      </c>
      <c r="C15" s="5">
        <v>396134252</v>
      </c>
      <c r="D15" s="5">
        <v>456688932</v>
      </c>
      <c r="E15" s="5">
        <v>408497732</v>
      </c>
      <c r="F15" s="5">
        <v>425401554</v>
      </c>
      <c r="G15" s="5">
        <v>423555029</v>
      </c>
      <c r="H15" s="5">
        <v>401063616</v>
      </c>
      <c r="I15" s="5">
        <v>456226631</v>
      </c>
      <c r="J15" s="5">
        <v>472674853</v>
      </c>
      <c r="K15" s="5">
        <v>446808053</v>
      </c>
      <c r="L15" s="5">
        <v>425240325</v>
      </c>
      <c r="M15" s="5">
        <v>465931156</v>
      </c>
      <c r="N15" s="5">
        <v>5181182003</v>
      </c>
    </row>
    <row r="16" spans="1:14" ht="15" x14ac:dyDescent="0.2">
      <c r="A16" s="4" t="s">
        <v>26</v>
      </c>
      <c r="B16" s="5">
        <v>19420839</v>
      </c>
      <c r="C16" s="5">
        <v>19383989</v>
      </c>
      <c r="D16" s="5">
        <v>19506765</v>
      </c>
      <c r="E16" s="5">
        <v>18096335</v>
      </c>
      <c r="F16" s="5">
        <v>18273040</v>
      </c>
      <c r="G16" s="5">
        <v>18130531</v>
      </c>
      <c r="H16" s="5">
        <v>17752354</v>
      </c>
      <c r="I16" s="5">
        <v>18905360</v>
      </c>
      <c r="J16" s="5">
        <v>18925527</v>
      </c>
      <c r="K16" s="5">
        <v>18757060</v>
      </c>
      <c r="L16" s="5">
        <v>20076784</v>
      </c>
      <c r="M16" s="5">
        <v>19885617</v>
      </c>
      <c r="N16" s="5">
        <v>227114201</v>
      </c>
    </row>
    <row r="17" spans="1:14" ht="15" x14ac:dyDescent="0.2">
      <c r="A17" s="4" t="s">
        <v>27</v>
      </c>
      <c r="B17" s="5">
        <v>43760548</v>
      </c>
      <c r="C17" s="5">
        <v>84142792</v>
      </c>
      <c r="D17" s="5">
        <v>11322888</v>
      </c>
      <c r="E17" s="5">
        <v>15110524</v>
      </c>
      <c r="F17" s="5">
        <v>15307689</v>
      </c>
      <c r="G17" s="5">
        <v>16272789</v>
      </c>
      <c r="H17" s="5">
        <v>18387304</v>
      </c>
      <c r="I17" s="5">
        <v>39283917</v>
      </c>
      <c r="J17" s="5">
        <v>25433092</v>
      </c>
      <c r="K17" s="5">
        <v>29779482</v>
      </c>
      <c r="L17" s="5">
        <v>64818305</v>
      </c>
      <c r="M17" s="5">
        <v>43850757</v>
      </c>
      <c r="N17" s="5">
        <v>407470087</v>
      </c>
    </row>
    <row r="18" spans="1:14" ht="15" x14ac:dyDescent="0.2">
      <c r="A18" s="4" t="s">
        <v>28</v>
      </c>
      <c r="B18" s="5">
        <v>3846047667</v>
      </c>
      <c r="C18" s="5">
        <v>4042293710</v>
      </c>
      <c r="D18" s="5">
        <v>4263632647</v>
      </c>
      <c r="E18" s="5">
        <v>4114542659</v>
      </c>
      <c r="F18" s="5">
        <v>4350131918</v>
      </c>
      <c r="G18" s="5">
        <v>3867144030</v>
      </c>
      <c r="H18" s="5">
        <v>3688397880</v>
      </c>
      <c r="I18" s="5">
        <v>4223325932</v>
      </c>
      <c r="J18" s="5">
        <v>4212894671</v>
      </c>
      <c r="K18" s="5">
        <v>4049964711</v>
      </c>
      <c r="L18" s="5">
        <v>4179029905</v>
      </c>
      <c r="M18" s="5">
        <v>4312163275</v>
      </c>
      <c r="N18" s="5">
        <v>49149569005</v>
      </c>
    </row>
    <row r="19" spans="1:14" ht="15" x14ac:dyDescent="0.2">
      <c r="A19" s="11" t="s">
        <v>79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</row>
    <row r="20" spans="1:14" ht="15" x14ac:dyDescent="0.2">
      <c r="A20" s="14" t="s">
        <v>52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4" ht="15" x14ac:dyDescent="0.2">
      <c r="A21" s="11" t="s">
        <v>50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</sheetData>
  <mergeCells count="4">
    <mergeCell ref="A1:N1"/>
    <mergeCell ref="A19:N19"/>
    <mergeCell ref="A20:N20"/>
    <mergeCell ref="A21:N21"/>
  </mergeCells>
  <hyperlinks>
    <hyperlink ref="A20:N20" location="'Table of Contents'!A23" display="Back to Table of Contents" xr:uid="{6E80CC2B-BE75-4A67-9DCC-51ADAC09F86C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B18F2-2382-4B41-A5A2-9D4CB646F103}">
  <sheetPr codeName="Sheet24"/>
  <dimension ref="A1:N33"/>
  <sheetViews>
    <sheetView workbookViewId="0">
      <selection sqref="A1:N1"/>
    </sheetView>
  </sheetViews>
  <sheetFormatPr defaultColWidth="0" defaultRowHeight="0" customHeight="1" zeroHeight="1" x14ac:dyDescent="0.2"/>
  <cols>
    <col min="1" max="1" width="27.7109375" style="2" customWidth="1"/>
    <col min="2" max="13" width="18.7109375" style="2" bestFit="1" customWidth="1"/>
    <col min="14" max="14" width="17.28515625" style="2" bestFit="1" customWidth="1"/>
    <col min="15" max="16384" width="8.85546875" style="2" hidden="1"/>
  </cols>
  <sheetData>
    <row r="1" spans="1:14" s="10" customFormat="1" ht="18" x14ac:dyDescent="0.25">
      <c r="A1" s="13" t="s">
        <v>83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5.75" x14ac:dyDescent="0.25">
      <c r="A2" s="1" t="s">
        <v>53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</row>
    <row r="3" spans="1:14" ht="15" x14ac:dyDescent="0.2">
      <c r="A3" s="6" t="s">
        <v>13</v>
      </c>
      <c r="B3" s="7">
        <v>2385710</v>
      </c>
      <c r="C3" s="7">
        <v>2700646</v>
      </c>
      <c r="D3" s="7">
        <v>2951811</v>
      </c>
      <c r="E3" s="7">
        <v>2652691</v>
      </c>
      <c r="F3" s="7">
        <v>2766429</v>
      </c>
      <c r="G3" s="7">
        <v>1965720</v>
      </c>
      <c r="H3" s="7">
        <v>2357996</v>
      </c>
      <c r="I3" s="7">
        <v>3561281</v>
      </c>
      <c r="J3" s="7">
        <v>3218332</v>
      </c>
      <c r="K3" s="7">
        <v>3110225</v>
      </c>
      <c r="L3" s="7">
        <v>3247832</v>
      </c>
      <c r="M3" s="7">
        <v>2605403</v>
      </c>
      <c r="N3" s="8">
        <f t="shared" ref="N3:N17" si="0">SUM(B3:M3)</f>
        <v>33524076</v>
      </c>
    </row>
    <row r="4" spans="1:14" ht="15" x14ac:dyDescent="0.2">
      <c r="A4" s="6" t="s">
        <v>14</v>
      </c>
      <c r="B4" s="7">
        <v>141787379</v>
      </c>
      <c r="C4" s="7">
        <v>158065218</v>
      </c>
      <c r="D4" s="7">
        <v>157850700</v>
      </c>
      <c r="E4" s="7">
        <v>123221301</v>
      </c>
      <c r="F4" s="7">
        <v>172741104</v>
      </c>
      <c r="G4" s="7">
        <v>121285026</v>
      </c>
      <c r="H4" s="7">
        <v>159300973</v>
      </c>
      <c r="I4" s="7">
        <v>177238771</v>
      </c>
      <c r="J4" s="7">
        <v>165995820</v>
      </c>
      <c r="K4" s="7">
        <v>149241693</v>
      </c>
      <c r="L4" s="7">
        <v>81338341</v>
      </c>
      <c r="M4" s="7">
        <v>181298918</v>
      </c>
      <c r="N4" s="8">
        <f t="shared" si="0"/>
        <v>1789365244</v>
      </c>
    </row>
    <row r="5" spans="1:14" ht="15" x14ac:dyDescent="0.2">
      <c r="A5" s="6" t="s">
        <v>15</v>
      </c>
      <c r="B5" s="7">
        <v>71893438</v>
      </c>
      <c r="C5" s="7">
        <v>111954097</v>
      </c>
      <c r="D5" s="7">
        <v>164711511</v>
      </c>
      <c r="E5" s="7">
        <v>81723413</v>
      </c>
      <c r="F5" s="7">
        <v>118410665</v>
      </c>
      <c r="G5" s="7">
        <v>177815327</v>
      </c>
      <c r="H5" s="7">
        <v>84649632</v>
      </c>
      <c r="I5" s="7">
        <v>94651710</v>
      </c>
      <c r="J5" s="7">
        <v>113017840</v>
      </c>
      <c r="K5" s="7">
        <v>60315458</v>
      </c>
      <c r="L5" s="7">
        <v>141565041</v>
      </c>
      <c r="M5" s="7">
        <v>156794775</v>
      </c>
      <c r="N5" s="8">
        <f t="shared" si="0"/>
        <v>1377502907</v>
      </c>
    </row>
    <row r="6" spans="1:14" ht="15" x14ac:dyDescent="0.2">
      <c r="A6" s="6" t="s">
        <v>16</v>
      </c>
      <c r="B6" s="7">
        <v>190494404</v>
      </c>
      <c r="C6" s="7">
        <v>190984748</v>
      </c>
      <c r="D6" s="7">
        <v>212445816</v>
      </c>
      <c r="E6" s="7">
        <v>175780805</v>
      </c>
      <c r="F6" s="7">
        <v>218978692</v>
      </c>
      <c r="G6" s="7">
        <v>170057517</v>
      </c>
      <c r="H6" s="7">
        <v>181880405</v>
      </c>
      <c r="I6" s="7">
        <v>197678716</v>
      </c>
      <c r="J6" s="7">
        <v>201967185</v>
      </c>
      <c r="K6" s="7">
        <v>190274690</v>
      </c>
      <c r="L6" s="7">
        <v>217847355</v>
      </c>
      <c r="M6" s="7">
        <v>230122726</v>
      </c>
      <c r="N6" s="8">
        <f t="shared" si="0"/>
        <v>2378513059</v>
      </c>
    </row>
    <row r="7" spans="1:14" ht="15" x14ac:dyDescent="0.2">
      <c r="A7" s="6" t="s">
        <v>17</v>
      </c>
      <c r="B7" s="7">
        <v>300617350</v>
      </c>
      <c r="C7" s="7">
        <v>330361485</v>
      </c>
      <c r="D7" s="7">
        <v>392812083</v>
      </c>
      <c r="E7" s="7">
        <v>344875358</v>
      </c>
      <c r="F7" s="7">
        <v>387716636</v>
      </c>
      <c r="G7" s="7">
        <v>351745313</v>
      </c>
      <c r="H7" s="7">
        <v>313461646</v>
      </c>
      <c r="I7" s="7">
        <v>412171842</v>
      </c>
      <c r="J7" s="7">
        <v>414578715</v>
      </c>
      <c r="K7" s="7">
        <v>298670996</v>
      </c>
      <c r="L7" s="7">
        <v>357442348</v>
      </c>
      <c r="M7" s="7">
        <v>367010439</v>
      </c>
      <c r="N7" s="8">
        <f t="shared" si="0"/>
        <v>4271464211</v>
      </c>
    </row>
    <row r="8" spans="1:14" ht="15" x14ac:dyDescent="0.2">
      <c r="A8" s="6" t="s">
        <v>18</v>
      </c>
      <c r="B8" s="7">
        <v>351023288</v>
      </c>
      <c r="C8" s="7">
        <v>392558342</v>
      </c>
      <c r="D8" s="7">
        <v>372012235</v>
      </c>
      <c r="E8" s="7">
        <v>325944105</v>
      </c>
      <c r="F8" s="7">
        <v>380248822</v>
      </c>
      <c r="G8" s="7">
        <v>346634789</v>
      </c>
      <c r="H8" s="7">
        <v>339805928</v>
      </c>
      <c r="I8" s="7">
        <v>401058923</v>
      </c>
      <c r="J8" s="7">
        <v>378610154</v>
      </c>
      <c r="K8" s="7">
        <v>351834940</v>
      </c>
      <c r="L8" s="7">
        <v>401756758</v>
      </c>
      <c r="M8" s="7">
        <v>394749434</v>
      </c>
      <c r="N8" s="8">
        <f t="shared" si="0"/>
        <v>4436237718</v>
      </c>
    </row>
    <row r="9" spans="1:14" ht="15" x14ac:dyDescent="0.2">
      <c r="A9" s="6" t="s">
        <v>19</v>
      </c>
      <c r="B9" s="7">
        <v>1524316056</v>
      </c>
      <c r="C9" s="7">
        <v>1541989972</v>
      </c>
      <c r="D9" s="7">
        <v>1694338971</v>
      </c>
      <c r="E9" s="7">
        <v>1920944353</v>
      </c>
      <c r="F9" s="7">
        <v>1767115682</v>
      </c>
      <c r="G9" s="7">
        <v>1429282851</v>
      </c>
      <c r="H9" s="7">
        <v>1580711797</v>
      </c>
      <c r="I9" s="7">
        <v>1760708586</v>
      </c>
      <c r="J9" s="7">
        <v>1643679968</v>
      </c>
      <c r="K9" s="7">
        <v>1655351528</v>
      </c>
      <c r="L9" s="7">
        <v>1776247987</v>
      </c>
      <c r="M9" s="7">
        <v>1742874622</v>
      </c>
      <c r="N9" s="8">
        <f t="shared" si="0"/>
        <v>20037562373</v>
      </c>
    </row>
    <row r="10" spans="1:14" ht="15" x14ac:dyDescent="0.2">
      <c r="A10" s="6" t="s">
        <v>20</v>
      </c>
      <c r="B10" s="7">
        <v>50960514</v>
      </c>
      <c r="C10" s="7">
        <v>50376575</v>
      </c>
      <c r="D10" s="7">
        <v>47715636</v>
      </c>
      <c r="E10" s="7">
        <v>48400604</v>
      </c>
      <c r="F10" s="7">
        <v>59850011</v>
      </c>
      <c r="G10" s="7">
        <v>48881006</v>
      </c>
      <c r="H10" s="7">
        <v>41512761</v>
      </c>
      <c r="I10" s="7">
        <v>62914826</v>
      </c>
      <c r="J10" s="7">
        <v>48378627</v>
      </c>
      <c r="K10" s="7">
        <v>47223187</v>
      </c>
      <c r="L10" s="7">
        <v>56767601</v>
      </c>
      <c r="M10" s="7">
        <v>54447697</v>
      </c>
      <c r="N10" s="8">
        <f t="shared" si="0"/>
        <v>617429045</v>
      </c>
    </row>
    <row r="11" spans="1:14" ht="15" x14ac:dyDescent="0.2">
      <c r="A11" s="6" t="s">
        <v>21</v>
      </c>
      <c r="B11" s="7">
        <v>275949158</v>
      </c>
      <c r="C11" s="7">
        <v>290829043</v>
      </c>
      <c r="D11" s="7">
        <v>300310648</v>
      </c>
      <c r="E11" s="7">
        <v>299905342</v>
      </c>
      <c r="F11" s="7">
        <v>352396380</v>
      </c>
      <c r="G11" s="7">
        <v>293648392</v>
      </c>
      <c r="H11" s="7">
        <v>285702870</v>
      </c>
      <c r="I11" s="7">
        <v>305049397</v>
      </c>
      <c r="J11" s="7">
        <v>294195415</v>
      </c>
      <c r="K11" s="7">
        <v>285968488</v>
      </c>
      <c r="L11" s="7">
        <v>347932634</v>
      </c>
      <c r="M11" s="7">
        <v>248952074</v>
      </c>
      <c r="N11" s="8">
        <f t="shared" si="0"/>
        <v>3580839841</v>
      </c>
    </row>
    <row r="12" spans="1:14" ht="15" x14ac:dyDescent="0.2">
      <c r="A12" s="6" t="s">
        <v>22</v>
      </c>
      <c r="B12" s="7">
        <v>30483122</v>
      </c>
      <c r="C12" s="7">
        <v>36633840</v>
      </c>
      <c r="D12" s="7">
        <v>31893527</v>
      </c>
      <c r="E12" s="7">
        <v>37265843</v>
      </c>
      <c r="F12" s="7">
        <v>37452235</v>
      </c>
      <c r="G12" s="7">
        <v>42307427</v>
      </c>
      <c r="H12" s="7">
        <v>23208651</v>
      </c>
      <c r="I12" s="7">
        <v>33874569</v>
      </c>
      <c r="J12" s="7">
        <v>31386200</v>
      </c>
      <c r="K12" s="7">
        <v>35301179</v>
      </c>
      <c r="L12" s="7">
        <v>34596293</v>
      </c>
      <c r="M12" s="7">
        <v>15185504</v>
      </c>
      <c r="N12" s="8">
        <f t="shared" si="0"/>
        <v>389588390</v>
      </c>
    </row>
    <row r="13" spans="1:14" ht="30" x14ac:dyDescent="0.2">
      <c r="A13" s="6" t="s">
        <v>23</v>
      </c>
      <c r="B13" s="7">
        <v>108374072</v>
      </c>
      <c r="C13" s="7">
        <v>117509408</v>
      </c>
      <c r="D13" s="7">
        <v>126028931</v>
      </c>
      <c r="E13" s="7">
        <v>109186461</v>
      </c>
      <c r="F13" s="7">
        <v>123227888</v>
      </c>
      <c r="G13" s="7">
        <v>80201036</v>
      </c>
      <c r="H13" s="7">
        <v>113405636</v>
      </c>
      <c r="I13" s="7">
        <v>119847644</v>
      </c>
      <c r="J13" s="7">
        <v>133218359</v>
      </c>
      <c r="K13" s="7">
        <v>121367686</v>
      </c>
      <c r="L13" s="7">
        <v>127599060</v>
      </c>
      <c r="M13" s="7">
        <v>141321903</v>
      </c>
      <c r="N13" s="8">
        <f t="shared" si="0"/>
        <v>1421288084</v>
      </c>
    </row>
    <row r="14" spans="1:14" ht="15" x14ac:dyDescent="0.2">
      <c r="A14" s="6" t="s">
        <v>24</v>
      </c>
      <c r="B14" s="7">
        <v>411208063</v>
      </c>
      <c r="C14" s="7">
        <v>462189300</v>
      </c>
      <c r="D14" s="7">
        <v>472488620</v>
      </c>
      <c r="E14" s="7">
        <v>435211339</v>
      </c>
      <c r="F14" s="7">
        <v>501927697</v>
      </c>
      <c r="G14" s="7">
        <v>451953791</v>
      </c>
      <c r="H14" s="7">
        <v>433862991</v>
      </c>
      <c r="I14" s="7">
        <v>543626258</v>
      </c>
      <c r="J14" s="7">
        <v>507033555</v>
      </c>
      <c r="K14" s="7">
        <v>473392607</v>
      </c>
      <c r="L14" s="7">
        <v>531159708</v>
      </c>
      <c r="M14" s="7">
        <v>508754519</v>
      </c>
      <c r="N14" s="8">
        <f t="shared" si="0"/>
        <v>5732808448</v>
      </c>
    </row>
    <row r="15" spans="1:14" ht="30" x14ac:dyDescent="0.2">
      <c r="A15" s="6" t="s">
        <v>25</v>
      </c>
      <c r="B15" s="7">
        <v>423925387</v>
      </c>
      <c r="C15" s="7">
        <v>417148635</v>
      </c>
      <c r="D15" s="7">
        <v>476223619</v>
      </c>
      <c r="E15" s="7">
        <v>428272768</v>
      </c>
      <c r="F15" s="7">
        <v>440669439</v>
      </c>
      <c r="G15" s="7">
        <v>441528955</v>
      </c>
      <c r="H15" s="7">
        <v>430180122</v>
      </c>
      <c r="I15" s="7">
        <v>477103328</v>
      </c>
      <c r="J15" s="7">
        <v>495144542</v>
      </c>
      <c r="K15" s="7">
        <v>472077267</v>
      </c>
      <c r="L15" s="7">
        <v>452131792</v>
      </c>
      <c r="M15" s="7">
        <v>489726146</v>
      </c>
      <c r="N15" s="8">
        <f t="shared" si="0"/>
        <v>5444132000</v>
      </c>
    </row>
    <row r="16" spans="1:14" ht="15" x14ac:dyDescent="0.2">
      <c r="A16" s="6" t="s">
        <v>26</v>
      </c>
      <c r="B16" s="7">
        <v>20632609</v>
      </c>
      <c r="C16" s="7">
        <v>20402451</v>
      </c>
      <c r="D16" s="7">
        <v>19554312</v>
      </c>
      <c r="E16" s="7">
        <v>20267786</v>
      </c>
      <c r="F16" s="7">
        <v>19598287</v>
      </c>
      <c r="G16" s="7">
        <v>18491425</v>
      </c>
      <c r="H16" s="7">
        <v>18999190</v>
      </c>
      <c r="I16" s="7">
        <v>20216975</v>
      </c>
      <c r="J16" s="7">
        <v>19039506</v>
      </c>
      <c r="K16" s="7">
        <v>18741844</v>
      </c>
      <c r="L16" s="7">
        <v>21305283</v>
      </c>
      <c r="M16" s="7">
        <v>20826209</v>
      </c>
      <c r="N16" s="8">
        <f t="shared" si="0"/>
        <v>238075877</v>
      </c>
    </row>
    <row r="17" spans="1:14" ht="15" x14ac:dyDescent="0.2">
      <c r="A17" s="6" t="s">
        <v>27</v>
      </c>
      <c r="B17" s="7">
        <v>50226597</v>
      </c>
      <c r="C17" s="7">
        <v>99755440</v>
      </c>
      <c r="D17" s="7">
        <v>19605363</v>
      </c>
      <c r="E17" s="7">
        <v>21038484</v>
      </c>
      <c r="F17" s="7">
        <v>37071265</v>
      </c>
      <c r="G17" s="7">
        <v>28163164</v>
      </c>
      <c r="H17" s="7">
        <v>44571377</v>
      </c>
      <c r="I17" s="7">
        <v>56208891</v>
      </c>
      <c r="J17" s="7">
        <v>41569816</v>
      </c>
      <c r="K17" s="7">
        <v>45713818</v>
      </c>
      <c r="L17" s="7">
        <v>80311928</v>
      </c>
      <c r="M17" s="7">
        <v>67448854</v>
      </c>
      <c r="N17" s="8">
        <f t="shared" si="0"/>
        <v>591684997</v>
      </c>
    </row>
    <row r="18" spans="1:14" ht="15" x14ac:dyDescent="0.2">
      <c r="A18" s="6" t="s">
        <v>28</v>
      </c>
      <c r="B18" s="8">
        <f t="shared" ref="B18:N18" si="1">SUM(B3:B17)</f>
        <v>3954277147</v>
      </c>
      <c r="C18" s="8">
        <f t="shared" si="1"/>
        <v>4223459200</v>
      </c>
      <c r="D18" s="8">
        <f t="shared" si="1"/>
        <v>4490943783</v>
      </c>
      <c r="E18" s="8">
        <f t="shared" si="1"/>
        <v>4374690653</v>
      </c>
      <c r="F18" s="8">
        <f t="shared" si="1"/>
        <v>4620171232</v>
      </c>
      <c r="G18" s="8">
        <f t="shared" si="1"/>
        <v>4003961739</v>
      </c>
      <c r="H18" s="8">
        <f t="shared" si="1"/>
        <v>4053611975</v>
      </c>
      <c r="I18" s="8">
        <f t="shared" si="1"/>
        <v>4665911717</v>
      </c>
      <c r="J18" s="8">
        <f t="shared" si="1"/>
        <v>4491034034</v>
      </c>
      <c r="K18" s="8">
        <f t="shared" si="1"/>
        <v>4208585606</v>
      </c>
      <c r="L18" s="8">
        <f t="shared" si="1"/>
        <v>4631249961</v>
      </c>
      <c r="M18" s="8">
        <f t="shared" si="1"/>
        <v>4622119223</v>
      </c>
      <c r="N18" s="8">
        <f t="shared" si="1"/>
        <v>52340016270</v>
      </c>
    </row>
    <row r="19" spans="1:14" ht="15" x14ac:dyDescent="0.2">
      <c r="A19" s="15" t="s">
        <v>82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spans="1:14" ht="15" x14ac:dyDescent="0.2">
      <c r="A20" s="16" t="s">
        <v>52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</row>
    <row r="21" spans="1:14" ht="15" x14ac:dyDescent="0.2">
      <c r="A21" s="15" t="s">
        <v>50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</row>
    <row r="33" ht="14.45" hidden="1" customHeight="1" x14ac:dyDescent="0.2"/>
  </sheetData>
  <mergeCells count="4">
    <mergeCell ref="A1:N1"/>
    <mergeCell ref="A19:N19"/>
    <mergeCell ref="A20:N20"/>
    <mergeCell ref="A21:N21"/>
  </mergeCells>
  <hyperlinks>
    <hyperlink ref="A20:N20" location="'Table of Contents'!A23" display="Back to Table of Contents" xr:uid="{09C7A5C8-A87C-4C12-B7B2-935E200594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26</vt:i4>
      </vt:variant>
    </vt:vector>
  </HeadingPairs>
  <TitlesOfParts>
    <vt:vector size="50" baseType="lpstr">
      <vt:lpstr>Table of Contents</vt:lpstr>
      <vt:lpstr>FY 2004</vt:lpstr>
      <vt:lpstr>FY 2005</vt:lpstr>
      <vt:lpstr>FY 2006</vt:lpstr>
      <vt:lpstr>FY 2007</vt:lpstr>
      <vt:lpstr>FY 2008</vt:lpstr>
      <vt:lpstr>FY 2009</vt:lpstr>
      <vt:lpstr>FY 2010</vt:lpstr>
      <vt:lpstr>FY 2011</vt:lpstr>
      <vt:lpstr>FY 2012</vt:lpstr>
      <vt:lpstr>FY 2013</vt:lpstr>
      <vt:lpstr>FY 2014</vt:lpstr>
      <vt:lpstr>FY 2015</vt:lpstr>
      <vt:lpstr>FY 2016</vt:lpstr>
      <vt:lpstr>FY 2017</vt:lpstr>
      <vt:lpstr>FY 2018</vt:lpstr>
      <vt:lpstr>FY 2019</vt:lpstr>
      <vt:lpstr>FY 2020</vt:lpstr>
      <vt:lpstr>FY 2021</vt:lpstr>
      <vt:lpstr>FY 2022</vt:lpstr>
      <vt:lpstr>FY 2023</vt:lpstr>
      <vt:lpstr>FY 2024</vt:lpstr>
      <vt:lpstr>FY 2025</vt:lpstr>
      <vt:lpstr>FY 2026</vt:lpstr>
      <vt:lpstr>TitleRegion1.A2.N18.FY2024</vt:lpstr>
      <vt:lpstr>'FY 2025'!TitleRegion1.A2.N18.FY2025</vt:lpstr>
      <vt:lpstr>'FY 2026'!TitleRegion1.A2.N18.FY2026</vt:lpstr>
      <vt:lpstr>TitleRegion1.A2.N18.sheet10</vt:lpstr>
      <vt:lpstr>TitleRegion1.A2.N18.sheet11</vt:lpstr>
      <vt:lpstr>TitleRegion1.A2.N18.sheet12</vt:lpstr>
      <vt:lpstr>TitleRegion1.A2.N18.sheet13</vt:lpstr>
      <vt:lpstr>TitleRegion1.A2.N18.sheet14</vt:lpstr>
      <vt:lpstr>TitleRegion1.A2.N18.sheet15</vt:lpstr>
      <vt:lpstr>TitleRegion1.A2.N18.sheet16</vt:lpstr>
      <vt:lpstr>TitleRegion1.A2.N18.sheet17</vt:lpstr>
      <vt:lpstr>TitleRegion1.A2.N18.sheet18</vt:lpstr>
      <vt:lpstr>TitleRegion1.A2.N18.sheet19</vt:lpstr>
      <vt:lpstr>TitleRegion1.A2.N18.sheet2</vt:lpstr>
      <vt:lpstr>TitleRegion1.A2.N18.sheet20</vt:lpstr>
      <vt:lpstr>TitleRegion1.A2.N18.sheet21</vt:lpstr>
      <vt:lpstr>'FY 2024'!TitleRegion1.A2.N18.sheet22</vt:lpstr>
      <vt:lpstr>'FY 2025'!TitleRegion1.A2.N18.sheet23</vt:lpstr>
      <vt:lpstr>'FY 2026'!TitleRegion1.A2.N18.sheet23</vt:lpstr>
      <vt:lpstr>TitleRegion1.A2.N18.sheet3</vt:lpstr>
      <vt:lpstr>TitleRegion1.A2.N18.sheet4</vt:lpstr>
      <vt:lpstr>TitleRegion1.A2.N18.sheet5</vt:lpstr>
      <vt:lpstr>TitleRegion1.A2.N18.sheet6</vt:lpstr>
      <vt:lpstr>TitleRegion1.A2.N18.sheet7</vt:lpstr>
      <vt:lpstr>TitleRegion1.A2.N18.sheet8</vt:lpstr>
      <vt:lpstr>TitleRegion1.A2.N18.sheet9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Landre Buzard</dc:creator>
  <cp:lastModifiedBy>Kaitlin Wetherbee</cp:lastModifiedBy>
  <dcterms:created xsi:type="dcterms:W3CDTF">2024-04-19T19:44:46Z</dcterms:created>
  <dcterms:modified xsi:type="dcterms:W3CDTF">2026-09-17T20:52:09Z</dcterms:modified>
</cp:coreProperties>
</file>