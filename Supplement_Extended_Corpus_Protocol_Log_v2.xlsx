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ry_Log" sheetId="2" state="visible" r:id="rId2"/>
    <sheet xmlns:r="http://schemas.openxmlformats.org/officeDocument/2006/relationships" name="Screening_Log" sheetId="3" state="visible" r:id="rId3"/>
    <sheet xmlns:r="http://schemas.openxmlformats.org/officeDocument/2006/relationships" name="Flow" sheetId="4" state="visible" r:id="rId4"/>
    <sheet xmlns:r="http://schemas.openxmlformats.org/officeDocument/2006/relationships" name="Stage2_Templat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Noto Sans CJK SC"/>
      <family val="2"/>
      <sz val="10"/>
    </font>
    <font>
      <name val="Arial"/>
      <charset val="1"/>
      <family val="0"/>
      <i val="1"/>
      <sz val="11"/>
    </font>
    <font>
      <name val="Noto Sans CJK SC"/>
      <family val="2"/>
      <i val="1"/>
      <sz val="11"/>
    </font>
    <font>
      <name val="Noto Sans CJK SC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3" min="1" max="1"/>
    <col width="110" customWidth="1" style="13" min="2" max="2"/>
  </cols>
  <sheetData>
    <row r="1" ht="15" customHeight="1" s="14">
      <c r="A1" s="15" t="inlineStr">
        <is>
          <t>Extended-corpus protocol: Stage 1 execution record</t>
        </is>
      </c>
    </row>
    <row r="2" ht="35.05" customHeight="1" s="14">
      <c r="A2" s="16" t="inlineStr">
        <is>
          <t>Manuscript: Administered Ethics (MIS Quarterly submission). Supplement to Appendix B.</t>
        </is>
      </c>
      <c r="B2" s="16" t="n"/>
    </row>
    <row r="3" ht="15" customHeight="1" s="14">
      <c r="A3" s="16" t="n"/>
      <c r="B3" s="16" t="n"/>
    </row>
    <row r="4" ht="15" customHeight="1" s="14">
      <c r="A4" s="16" t="inlineStr">
        <is>
          <t>Sampling frame</t>
        </is>
      </c>
      <c r="B4" s="16" t="inlineStr">
        <is>
          <t>Instruments issued by the PIPC, or by other state bodies in consultation with it, 2020-08-05 to 2026-09-30.</t>
        </is>
      </c>
    </row>
    <row r="5" ht="23.85" customHeight="1" s="14">
      <c r="A5" s="16" t="inlineStr">
        <is>
          <t>Inclusion 1 (instrument)</t>
        </is>
      </c>
      <c r="B5" s="16" t="inlineStr">
        <is>
          <t>Sanction decision; corrective or improvement recommendation incl. pre-inspection result; prior-adequacy review result; recommendation to another state body; sandbox exemption or statute adopted with PIPC participation; PIPC guidance or notice.</t>
        </is>
      </c>
    </row>
    <row r="6" ht="23.85" customHeight="1" s="14">
      <c r="A6" s="16" t="inlineStr">
        <is>
          <t>Inclusion 2 (subject matter)</t>
        </is>
      </c>
      <c r="B6" s="16" t="inlineStr">
        <is>
          <t>(a) development, training, or deployment of AI models; (b) biometric identifiers processed for identification or authentication; (c) algorithmic inference of personal characteristics, interests, or risk.</t>
        </is>
      </c>
    </row>
    <row r="7" ht="15" customHeight="1" s="14">
      <c r="A7" s="16" t="inlineStr">
        <is>
          <t>Inclusion 3 (examination)</t>
        </is>
      </c>
      <c r="B7" s="16" t="inlineStr">
        <is>
          <t>The record shows the regulator examining that processing (findings, requests, conditions, or remedies concerning it).</t>
        </is>
      </c>
    </row>
    <row r="8" ht="23.85" customHeight="1" s="14">
      <c r="A8" s="16" t="inlineStr">
        <is>
          <t>Exclusions</t>
        </is>
      </c>
      <c r="B8" s="16" t="inlineStr">
        <is>
          <t>Security breaches without such a dimension; legislative privacy-impact assessments of draft statutes; public statements; announced plans; procedural rules; the two core PIPC decisions.</t>
        </is>
      </c>
    </row>
    <row r="9" ht="23.85" customHeight="1" s="14">
      <c r="A9" s="16" t="inlineStr">
        <is>
          <t>Search and screening (executed)</t>
        </is>
      </c>
      <c r="B9" s="16" t="inlineStr">
        <is>
          <t>30 documented web-search queries run 2026-10-02/03 (Query_Log); every PIPC instrument surfaced screened (Screening_Log). Round 1 queries were partly case-directed; Round 2 queries were category-directed.</t>
        </is>
      </c>
    </row>
    <row r="10" ht="23.85" customHeight="1" s="14">
      <c r="A10" s="16" t="inlineStr">
        <is>
          <t>Search limitation</t>
        </is>
      </c>
      <c r="B10" s="16" t="inlineStr">
        <is>
          <t>Search engines are not deterministic and do not guarantee completeness. Direct programmatic access to the PIPC decision database failed (DB1-DB3).</t>
        </is>
      </c>
    </row>
    <row r="11" ht="15" customHeight="1" s="14">
      <c r="A11" s="16" t="inlineStr">
        <is>
          <t>Census of decision database (not executed)</t>
        </is>
      </c>
      <c r="B11" s="16" t="inlineStr">
        <is>
          <t>Not carried out; the Stage2_Template sheet is retained as a specification for future work. The corpus is a documented purposive sample, not a census.</t>
        </is>
      </c>
    </row>
    <row r="12" ht="15" customHeight="1" s="14">
      <c r="A12" s="16" t="n"/>
      <c r="B12" s="16" t="n"/>
    </row>
    <row r="13" ht="15" customHeight="1" s="14">
      <c r="A13" s="17" t="inlineStr">
        <is>
          <t>Instrument types</t>
        </is>
      </c>
      <c r="B13" s="16" t="n"/>
    </row>
    <row r="14" ht="15" customHeight="1" s="14">
      <c r="A14" s="16" t="inlineStr">
        <is>
          <t>T1</t>
        </is>
      </c>
      <c r="B14" s="16" t="inlineStr">
        <is>
          <t>Sanction decision (penalty surcharge, administrative fine, corrective order)</t>
        </is>
      </c>
    </row>
    <row r="15" ht="15" customHeight="1" s="14">
      <c r="A15" s="16" t="inlineStr">
        <is>
          <t>T2</t>
        </is>
      </c>
      <c r="B15" s="16" t="inlineStr">
        <is>
          <t>Corrective or improvement recommendation, incl. pre-inspection result</t>
        </is>
      </c>
    </row>
    <row r="16" ht="15" customHeight="1" s="14">
      <c r="A16" s="16" t="inlineStr">
        <is>
          <t>T3</t>
        </is>
      </c>
      <c r="B16" s="16" t="inlineStr">
        <is>
          <t>Prior-adequacy review result</t>
        </is>
      </c>
    </row>
    <row r="17" ht="15" customHeight="1" s="14">
      <c r="A17" s="16" t="inlineStr">
        <is>
          <t>T4</t>
        </is>
      </c>
      <c r="B17" s="16" t="inlineStr">
        <is>
          <t>Recommendation to another state body</t>
        </is>
      </c>
    </row>
    <row r="18" ht="15" customHeight="1" s="14">
      <c r="A18" s="16" t="inlineStr">
        <is>
          <t>T5</t>
        </is>
      </c>
      <c r="B18" s="16" t="inlineStr">
        <is>
          <t>Sandbox exemption or statute adopted with PIPC participation</t>
        </is>
      </c>
    </row>
    <row r="19" ht="15" customHeight="1" s="14">
      <c r="A19" s="16" t="inlineStr">
        <is>
          <t>T6</t>
        </is>
      </c>
      <c r="B19" s="16" t="inlineStr">
        <is>
          <t>PIPC guidance or notice</t>
        </is>
      </c>
    </row>
    <row r="20" ht="15" customHeight="1" s="14">
      <c r="A20" s="16" t="inlineStr">
        <is>
          <t>Other</t>
        </is>
      </c>
      <c r="B20" s="16" t="inlineStr">
        <is>
          <t>Other (statement, plan, rule, non-PIPC body)</t>
        </is>
      </c>
    </row>
    <row r="21" ht="15" customHeight="1" s="14">
      <c r="A21" s="16" t="n"/>
      <c r="B21" s="16" t="n"/>
    </row>
    <row r="22" ht="15" customHeight="1" s="14">
      <c r="A22" s="17" t="inlineStr">
        <is>
          <t>Reason codes</t>
        </is>
      </c>
      <c r="B22" s="16" t="n"/>
    </row>
    <row r="23" ht="15" customHeight="1" s="14">
      <c r="A23" s="16" t="inlineStr">
        <is>
          <t>EX-CORE</t>
        </is>
      </c>
      <c r="B23" s="16" t="inlineStr">
        <is>
          <t>Already analyzed as a core record</t>
        </is>
      </c>
    </row>
    <row r="24" ht="15" customHeight="1" s="14">
      <c r="A24" s="16" t="inlineStr">
        <is>
          <t>EX-NOAI</t>
        </is>
      </c>
      <c r="B24" s="16" t="inlineStr">
        <is>
          <t>No AI, biometric, or inferential processing examined</t>
        </is>
      </c>
    </row>
    <row r="25" ht="15" customHeight="1" s="14">
      <c r="A25" s="16" t="inlineStr">
        <is>
          <t>EX-BREACH</t>
        </is>
      </c>
      <c r="B25" s="16" t="inlineStr">
        <is>
          <t>Security breach without AI, biometric, or inferential processing examined</t>
        </is>
      </c>
    </row>
    <row r="26" ht="15" customHeight="1" s="14">
      <c r="A26" s="16" t="inlineStr">
        <is>
          <t>EX-NOTPIPC</t>
        </is>
      </c>
      <c r="B26" s="16" t="inlineStr">
        <is>
          <t>Not issued by or in consultation with the PIPC</t>
        </is>
      </c>
    </row>
    <row r="27" ht="15" customHeight="1" s="14">
      <c r="A27" s="16" t="inlineStr">
        <is>
          <t>EX-PIPCROLE</t>
        </is>
      </c>
      <c r="B27" s="16" t="inlineStr">
        <is>
          <t>PIPC involvement not documented in sources (not verified)</t>
        </is>
      </c>
    </row>
    <row r="28" ht="15" customHeight="1" s="14">
      <c r="A28" s="16" t="inlineStr">
        <is>
          <t>EX-PROC</t>
        </is>
      </c>
      <c r="B28" s="16" t="inlineStr">
        <is>
          <t>Procedural rule, not a case or authorization</t>
        </is>
      </c>
    </row>
    <row r="29" ht="15" customHeight="1" s="14">
      <c r="A29" s="16" t="inlineStr">
        <is>
          <t>EX-STMT</t>
        </is>
      </c>
      <c r="B29" s="16" t="inlineStr">
        <is>
          <t>Public statement, not an instrument</t>
        </is>
      </c>
    </row>
    <row r="30" ht="15" customHeight="1" s="14">
      <c r="A30" s="16" t="inlineStr">
        <is>
          <t>EX-PLANNED</t>
        </is>
      </c>
      <c r="B30" s="16" t="inlineStr">
        <is>
          <t>Announced plan; no decision by cutoff</t>
        </is>
      </c>
    </row>
    <row r="31" ht="15" customHeight="1" s="14">
      <c r="A31" s="16" t="inlineStr">
        <is>
          <t>PEND</t>
        </is>
      </c>
      <c r="B31" s="16" t="inlineStr">
        <is>
          <t>Eligible; not coded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3" min="1" max="2"/>
    <col width="13" customWidth="1" style="13" min="3" max="3"/>
    <col width="70" customWidth="1" style="13" min="4" max="4"/>
    <col width="40" customWidth="1" style="13" min="5" max="5"/>
    <col width="45" customWidth="1" style="13" min="6" max="6"/>
  </cols>
  <sheetData>
    <row r="1" ht="26.85" customHeight="1" s="14">
      <c r="A1" s="18" t="inlineStr">
        <is>
          <t>QID</t>
        </is>
      </c>
      <c r="B1" s="18" t="inlineStr">
        <is>
          <t>Round</t>
        </is>
      </c>
      <c r="C1" s="18" t="inlineStr">
        <is>
          <t>Run date</t>
        </is>
      </c>
      <c r="D1" s="18" t="inlineStr">
        <is>
          <t>Query string (as entered)</t>
        </is>
      </c>
      <c r="E1" s="18" t="inlineStr">
        <is>
          <t>Records surfaced (RecID)</t>
        </is>
      </c>
      <c r="F1" s="18" t="inlineStr">
        <is>
          <t>Note</t>
        </is>
      </c>
    </row>
    <row r="2" ht="15" customHeight="1" s="14">
      <c r="A2" s="16" t="inlineStr">
        <is>
          <t>Q01</t>
        </is>
      </c>
      <c r="B2" s="16" t="n">
        <v>1</v>
      </c>
      <c r="C2" s="16" t="inlineStr">
        <is>
          <t>2026-10-02/03</t>
        </is>
      </c>
      <c r="D2" s="19" t="inlineStr">
        <is>
          <t>개인정보보호위원회 인공지능 과징금 의결 2025</t>
        </is>
      </c>
      <c r="E2" s="16" t="inlineStr">
        <is>
          <t>R07,R17,R18,R22,R38,R47,R48,R51</t>
        </is>
      </c>
      <c r="F2" s="16" t="n"/>
    </row>
    <row r="3" ht="15" customHeight="1" s="14">
      <c r="A3" s="16" t="inlineStr">
        <is>
          <t>Q02</t>
        </is>
      </c>
      <c r="B3" s="16" t="n">
        <v>1</v>
      </c>
      <c r="C3" s="16" t="inlineStr">
        <is>
          <t>2026-10-02/03</t>
        </is>
      </c>
      <c r="D3" s="19" t="inlineStr">
        <is>
          <t>개인정보위 딥시크 시정권고 국외이전 조사결과</t>
        </is>
      </c>
      <c r="E3" s="16" t="inlineStr">
        <is>
          <t>R14,R20</t>
        </is>
      </c>
      <c r="F3" s="16" t="n"/>
    </row>
    <row r="4" ht="15" customHeight="1" s="14">
      <c r="A4" s="16" t="inlineStr">
        <is>
          <t>Q03</t>
        </is>
      </c>
      <c r="B4" s="16" t="n">
        <v>1</v>
      </c>
      <c r="C4" s="16" t="inlineStr">
        <is>
          <t>2026-10-02/03</t>
        </is>
      </c>
      <c r="D4" s="19" t="inlineStr">
        <is>
          <t>개인정보위 AI 서비스 사전 실태점검 결과 오픈AI 구글 메타 네이버 개선권고 2024년 3월</t>
        </is>
      </c>
      <c r="E4" s="16" t="inlineStr">
        <is>
          <t>R10,R35</t>
        </is>
      </c>
      <c r="F4" s="16" t="n"/>
    </row>
    <row r="5" ht="15" customHeight="1" s="14">
      <c r="A5" s="16" t="inlineStr">
        <is>
          <t>Q04</t>
        </is>
      </c>
      <c r="B5" s="16" t="n">
        <v>1</v>
      </c>
      <c r="C5" s="16" t="inlineStr">
        <is>
          <t>2026-10-02/03</t>
        </is>
      </c>
      <c r="D5" s="19" t="inlineStr">
        <is>
          <t>개인정보위 메타 민감정보 종교 정치관 성적지향 광고 과징금 216억</t>
        </is>
      </c>
      <c r="E5" s="16" t="inlineStr">
        <is>
          <t>R12,R07</t>
        </is>
      </c>
      <c r="F5" s="16" t="n"/>
    </row>
    <row r="6" ht="15" customHeight="1" s="14">
      <c r="A6" s="16" t="inlineStr">
        <is>
          <t>Q05</t>
        </is>
      </c>
      <c r="B6" s="16" t="n">
        <v>1</v>
      </c>
      <c r="C6" s="16" t="inlineStr">
        <is>
          <t>2026-10-02/03</t>
        </is>
      </c>
      <c r="D6" s="19" t="inlineStr">
        <is>
          <t>구글 메타 맞춤형 광고 행태정보 과징금 취소소송 판결 결과 서울행정법원</t>
        </is>
      </c>
      <c r="E6" s="16" t="inlineStr">
        <is>
          <t>R07</t>
        </is>
      </c>
      <c r="F6" s="16" t="n"/>
    </row>
    <row r="7" ht="15" customHeight="1" s="14">
      <c r="A7" s="16" t="inlineStr">
        <is>
          <t>Q06</t>
        </is>
      </c>
      <c r="B7" s="16" t="n">
        <v>1</v>
      </c>
      <c r="C7" s="16" t="inlineStr">
        <is>
          <t>2026-10-02/03</t>
        </is>
      </c>
      <c r="D7" s="19" t="inlineStr">
        <is>
          <t>개인정보위 카카오페이 알리페이 NSF 스코어 과징금 의결</t>
        </is>
      </c>
      <c r="E7" s="16" t="inlineStr">
        <is>
          <t>R13</t>
        </is>
      </c>
      <c r="F7" s="16" t="n"/>
    </row>
    <row r="8" ht="15" customHeight="1" s="14">
      <c r="A8" s="16" t="inlineStr">
        <is>
          <t>Q07</t>
        </is>
      </c>
      <c r="B8" s="16" t="n">
        <v>1</v>
      </c>
      <c r="C8" s="16" t="inlineStr">
        <is>
          <t>2026-10-02/03</t>
        </is>
      </c>
      <c r="D8" s="19" t="inlineStr">
        <is>
          <t>개인정보위 법무부 출입국 얼굴사진 인공지능 식별추적시스템 의결 과태료 시정명령 2022</t>
        </is>
      </c>
      <c r="E8" s="16" t="inlineStr">
        <is>
          <t>R06</t>
        </is>
      </c>
      <c r="F8" s="16" t="n"/>
    </row>
    <row r="9" ht="15" customHeight="1" s="14">
      <c r="A9" s="16" t="inlineStr">
        <is>
          <t>Q08</t>
        </is>
      </c>
      <c r="B9" s="16" t="n">
        <v>1</v>
      </c>
      <c r="C9" s="16" t="inlineStr">
        <is>
          <t>2026-10-02/03</t>
        </is>
      </c>
      <c r="D9" s="19" t="inlineStr">
        <is>
          <t>헌법재판소 출입국 안면데이터 인공지능 식별추적 헌법소원 결정 2021헌마1575</t>
        </is>
      </c>
      <c r="E9" s="16" t="inlineStr">
        <is>
          <t>R06</t>
        </is>
      </c>
      <c r="F9" s="16" t="n"/>
    </row>
    <row r="10" ht="15" customHeight="1" s="14">
      <c r="A10" s="16" t="inlineStr">
        <is>
          <t>Q09</t>
        </is>
      </c>
      <c r="B10" s="16" t="n">
        <v>1</v>
      </c>
      <c r="C10" s="16" t="inlineStr">
        <is>
          <t>2026-10-02/03</t>
        </is>
      </c>
      <c r="D10" s="19" t="inlineStr">
        <is>
          <t>개인정보위 생체정보 얼굴인식 처분 의결 과징금 2025 2026</t>
        </is>
      </c>
      <c r="E10" s="16" t="inlineStr">
        <is>
          <t>R17,R18,R19,R21,R22,R46,R47,R49,R50</t>
        </is>
      </c>
      <c r="F10" s="16" t="n"/>
    </row>
    <row r="11" ht="15" customHeight="1" s="14">
      <c r="A11" s="16" t="inlineStr">
        <is>
          <t>Q10</t>
        </is>
      </c>
      <c r="B11" s="16" t="n">
        <v>1</v>
      </c>
      <c r="C11" s="16" t="inlineStr">
        <is>
          <t>2026-10-02/03</t>
        </is>
      </c>
      <c r="D11" s="19" t="inlineStr">
        <is>
          <t>개인정보위 AI 학습 이용자 데이터 무단 활용 제재 2026</t>
        </is>
      </c>
      <c r="E11" s="16" t="inlineStr">
        <is>
          <t>R01,R34,R35,R45</t>
        </is>
      </c>
      <c r="F11" s="16" t="n"/>
    </row>
    <row r="12" ht="15" customHeight="1" s="14">
      <c r="A12" s="16" t="inlineStr">
        <is>
          <t>Q11</t>
        </is>
      </c>
      <c r="B12" s="16" t="n">
        <v>1</v>
      </c>
      <c r="C12" s="16" t="inlineStr">
        <is>
          <t>2026-10-02/03</t>
        </is>
      </c>
      <c r="D12" s="19" t="inlineStr">
        <is>
          <t>개인정보위 자율주행 원본 영상 AI 학습 규제샌드박스 실증특례 심의 의결</t>
        </is>
      </c>
      <c r="E12" s="16" t="inlineStr">
        <is>
          <t>R26,R27,R28,R34,R37,R39</t>
        </is>
      </c>
      <c r="F12" s="16" t="n"/>
    </row>
    <row r="13" ht="15" customHeight="1" s="14">
      <c r="A13" s="16" t="inlineStr">
        <is>
          <t>Q12</t>
        </is>
      </c>
      <c r="B13" s="16" t="n">
        <v>1</v>
      </c>
      <c r="C13" s="16" t="inlineStr">
        <is>
          <t>2026-10-02/03</t>
        </is>
      </c>
      <c r="D13" s="19" t="inlineStr">
        <is>
          <t>개인정보위 사전적정성 검토 AI 서비스 의결 사례 보이스피싱 탐지 통화</t>
        </is>
      </c>
      <c r="E13" s="16" t="inlineStr">
        <is>
          <t>R29,R30</t>
        </is>
      </c>
      <c r="F13" s="16" t="n"/>
    </row>
    <row r="14" ht="15" customHeight="1" s="14">
      <c r="A14" s="16" t="inlineStr">
        <is>
          <t>Q13</t>
        </is>
      </c>
      <c r="B14" s="16" t="n">
        <v>1</v>
      </c>
      <c r="C14" s="16" t="inlineStr">
        <is>
          <t>2026-10-02/03</t>
        </is>
      </c>
      <c r="D14" s="19" t="inlineStr">
        <is>
          <t>개인정보위 안면인식 생체인식정보 별도 동의 위반 과태료 처분 기업</t>
        </is>
      </c>
      <c r="E14" s="16" t="inlineStr">
        <is>
          <t>R02,R03,R04,R06,R52</t>
        </is>
      </c>
      <c r="F14" s="16" t="n"/>
    </row>
    <row r="15" ht="15" customHeight="1" s="14">
      <c r="A15" s="16" t="inlineStr">
        <is>
          <t>Q14</t>
        </is>
      </c>
      <c r="B15" s="16" t="n">
        <v>1</v>
      </c>
      <c r="C15" s="16" t="inlineStr">
        <is>
          <t>2026-10-02/03</t>
        </is>
      </c>
      <c r="D15" s="19" t="inlineStr">
        <is>
          <t>페이스북 얼굴인식 템플릿 동의 없이 64억 과징금 개인정보위 2021년 8월</t>
        </is>
      </c>
      <c r="E15" s="16" t="inlineStr">
        <is>
          <t>R03,R04,R05,R08,R19</t>
        </is>
      </c>
      <c r="F15" s="16" t="n"/>
    </row>
    <row r="16" ht="15" customHeight="1" s="14">
      <c r="A16" s="16" t="inlineStr">
        <is>
          <t>Q15</t>
        </is>
      </c>
      <c r="B16" s="16" t="n">
        <v>1</v>
      </c>
      <c r="C16" s="16" t="inlineStr">
        <is>
          <t>2026-10-02/03</t>
        </is>
      </c>
      <c r="D16" s="19" t="inlineStr">
        <is>
          <t>개인정보위 오픈AI 챗GPT 개인정보 유출 신고 지연 과태료 360만원 2023</t>
        </is>
      </c>
      <c r="E16" s="16" t="inlineStr">
        <is>
          <t>R08,R09</t>
        </is>
      </c>
      <c r="F16" s="16" t="n"/>
    </row>
    <row r="17" ht="15" customHeight="1" s="14">
      <c r="A17" s="16" t="inlineStr">
        <is>
          <t>Q16</t>
        </is>
      </c>
      <c r="B17" s="16" t="n">
        <v>1</v>
      </c>
      <c r="C17" s="16" t="inlineStr">
        <is>
          <t>2026-10-02/03</t>
        </is>
      </c>
      <c r="D17" s="19" t="inlineStr">
        <is>
          <t>개인정보위 자동화된 결정 대응권 제37조의2 실태점검 AI 면접 채용 플랫폼 처분</t>
        </is>
      </c>
      <c r="E17" s="16" t="inlineStr">
        <is>
          <t>R53</t>
        </is>
      </c>
      <c r="F17" s="16" t="n"/>
    </row>
    <row r="18" ht="15" customHeight="1" s="14">
      <c r="A18" s="16" t="inlineStr">
        <is>
          <t>Q17</t>
        </is>
      </c>
      <c r="B18" s="16" t="n">
        <v>1</v>
      </c>
      <c r="C18" s="16" t="inlineStr">
        <is>
          <t>2026-10-02/03</t>
        </is>
      </c>
      <c r="D18" s="19" t="inlineStr">
        <is>
          <t>개인정보위 메타 링크드인 X 이용자 게시물 AI 학습 활용 점검 한국 이용자</t>
        </is>
      </c>
      <c r="E18" s="16" t="inlineStr">
        <is>
          <t>R08,R09,R10</t>
        </is>
      </c>
      <c r="F18" s="16" t="n"/>
    </row>
    <row r="19" ht="15" customHeight="1" s="14">
      <c r="A19" s="16" t="inlineStr">
        <is>
          <t>Q18</t>
        </is>
      </c>
      <c r="B19" s="16" t="n">
        <v>1</v>
      </c>
      <c r="C19" s="16" t="inlineStr">
        <is>
          <t>2026-10-02/03</t>
        </is>
      </c>
      <c r="D19" s="19" t="inlineStr">
        <is>
          <t>개인정보위 생성형 AI 개발 활용을 위한 개인정보 처리 안내서 공개 2025년 8월</t>
        </is>
      </c>
      <c r="E19" s="16" t="inlineStr">
        <is>
          <t>R35,R36</t>
        </is>
      </c>
      <c r="F19" s="16" t="n"/>
    </row>
    <row r="20" ht="15" customHeight="1" s="14">
      <c r="A20" s="16" t="inlineStr">
        <is>
          <t>Q19</t>
        </is>
      </c>
      <c r="B20" s="16" t="n">
        <v>1</v>
      </c>
      <c r="C20" s="16" t="inlineStr">
        <is>
          <t>2026-10-02/03</t>
        </is>
      </c>
      <c r="D20" s="19" t="inlineStr">
        <is>
          <t>월드코인 월드 한국 홍채 오브 서비스 재개 2025 2026 개인정보위 이행</t>
        </is>
      </c>
      <c r="E20" s="16" t="inlineStr">
        <is>
          <t>R02</t>
        </is>
      </c>
      <c r="F20" s="16" t="n"/>
    </row>
    <row r="21" ht="15" customHeight="1" s="14">
      <c r="A21" s="16" t="inlineStr">
        <is>
          <t>Q20</t>
        </is>
      </c>
      <c r="B21" s="16" t="n">
        <v>1</v>
      </c>
      <c r="C21" s="16" t="inlineStr">
        <is>
          <t>2026-10-02/03</t>
        </is>
      </c>
      <c r="D21" s="19" t="inlineStr">
        <is>
          <t>개인정보위 틱톡 애플 계열사 과징금 105억5800만원 적법 근거 없이 수집 국외이전</t>
        </is>
      </c>
      <c r="E21" s="16" t="inlineStr">
        <is>
          <t>R18</t>
        </is>
      </c>
      <c r="F21" s="16" t="n"/>
    </row>
    <row r="22" ht="15" customHeight="1" s="14">
      <c r="A22" s="16" t="inlineStr">
        <is>
          <t>Q21</t>
        </is>
      </c>
      <c r="B22" s="16" t="n">
        <v>1</v>
      </c>
      <c r="C22" s="16" t="inlineStr">
        <is>
          <t>2026-10-02/03</t>
        </is>
      </c>
      <c r="D22" s="19" t="inlineStr">
        <is>
          <t>구글 메타 행태정보 과징금 항소심 서울고법 2026 판결</t>
        </is>
      </c>
      <c r="E22" s="16" t="inlineStr">
        <is>
          <t>R07</t>
        </is>
      </c>
      <c r="F22" s="16" t="n"/>
    </row>
    <row r="23" ht="15" customHeight="1" s="14">
      <c r="A23" s="16" t="inlineStr">
        <is>
          <t>Q22</t>
        </is>
      </c>
      <c r="B23" s="16" t="n">
        <v>2</v>
      </c>
      <c r="C23" s="16" t="inlineStr">
        <is>
          <t>2026-10-02/03</t>
        </is>
      </c>
      <c r="D23" s="19" t="inlineStr">
        <is>
          <t>개인정보보호위원회 의결서 공개 게시판 심의의결 pipc.go.kr</t>
        </is>
      </c>
      <c r="E23" s="16" t="inlineStr">
        <is>
          <t>R54</t>
        </is>
      </c>
      <c r="F23" s="16" t="n"/>
    </row>
    <row r="24" ht="15" customHeight="1" s="14">
      <c r="A24" s="16" t="inlineStr">
        <is>
          <t>Q23</t>
        </is>
      </c>
      <c r="B24" s="16" t="n">
        <v>2</v>
      </c>
      <c r="C24" s="16" t="inlineStr">
        <is>
          <t>2026-10-02/03</t>
        </is>
      </c>
      <c r="D24" s="19" t="inlineStr">
        <is>
          <t>개인정보위 AI 응용 서비스 사전 실태점검 결과 개선권고 의결</t>
        </is>
      </c>
      <c r="E24" s="16" t="inlineStr">
        <is>
          <t>R10,R11,R15</t>
        </is>
      </c>
      <c r="F24" s="16" t="n"/>
    </row>
    <row r="25" ht="15" customHeight="1" s="14">
      <c r="A25" s="16" t="inlineStr">
        <is>
          <t>Q24</t>
        </is>
      </c>
      <c r="B25" s="16" t="n">
        <v>2</v>
      </c>
      <c r="C25" s="16" t="inlineStr">
        <is>
          <t>2026-10-02/03</t>
        </is>
      </c>
      <c r="D25" s="19" t="inlineStr">
        <is>
          <t>개인정보위 사전적정성 검토 결과 의결 AI 서비스 2026</t>
        </is>
      </c>
      <c r="E25" s="16" t="inlineStr">
        <is>
          <t>R32,R33,R41,R42</t>
        </is>
      </c>
      <c r="F25" s="16" t="n"/>
    </row>
    <row r="26" ht="15" customHeight="1" s="14">
      <c r="A26" s="16" t="inlineStr">
        <is>
          <t>Q25</t>
        </is>
      </c>
      <c r="B26" s="16" t="n">
        <v>2</v>
      </c>
      <c r="C26" s="16" t="inlineStr">
        <is>
          <t>2026-10-02/03</t>
        </is>
      </c>
      <c r="D26" s="19" t="inlineStr">
        <is>
          <t>개인정보위 휴대전화 개통 안면인증 과기정통부 개선 권고 2026년 5월</t>
        </is>
      </c>
      <c r="E26" s="16" t="inlineStr">
        <is>
          <t>R16,R31,R40</t>
        </is>
      </c>
      <c r="F26" s="16" t="n"/>
    </row>
    <row r="27" ht="15" customHeight="1" s="14">
      <c r="A27" s="16" t="inlineStr">
        <is>
          <t>Q26</t>
        </is>
      </c>
      <c r="B27" s="16" t="n">
        <v>2</v>
      </c>
      <c r="C27" s="16" t="inlineStr">
        <is>
          <t>2026-10-02/03</t>
        </is>
      </c>
      <c r="D27" s="19" t="inlineStr">
        <is>
          <t>토스 페이스페이 얼굴 결제 개인정보위 사전적정성 검토 의결</t>
        </is>
      </c>
      <c r="E27" s="16" t="inlineStr">
        <is>
          <t>R31</t>
        </is>
      </c>
      <c r="F27" s="16" t="n"/>
    </row>
    <row r="28" ht="15" customHeight="1" s="14">
      <c r="A28" s="16" t="inlineStr">
        <is>
          <t>Q27</t>
        </is>
      </c>
      <c r="B28" s="16" t="n">
        <v>2</v>
      </c>
      <c r="C28" s="16" t="inlineStr">
        <is>
          <t>2026-10-02/03</t>
        </is>
      </c>
      <c r="D28" s="19" t="inlineStr">
        <is>
          <t>쿠팡 과징금 6246억 온라인 활동 정보 법적 근거 없이 수집 맞춤형 광고 개인정보위</t>
        </is>
      </c>
      <c r="E28" s="16" t="inlineStr">
        <is>
          <t>R17,R23</t>
        </is>
      </c>
      <c r="F28" s="16" t="n"/>
    </row>
    <row r="29" ht="15" customHeight="1" s="14">
      <c r="A29" s="16" t="inlineStr">
        <is>
          <t>Q28</t>
        </is>
      </c>
      <c r="B29" s="16" t="n">
        <v>2</v>
      </c>
      <c r="C29" s="16" t="inlineStr">
        <is>
          <t>2026-10-02/03</t>
        </is>
      </c>
      <c r="D29" s="19" t="inlineStr">
        <is>
          <t>개인정보위 지능형 CCTV 얼굴인식 AI 영상분석 처분 시정 의결</t>
        </is>
      </c>
      <c r="E29" s="16" t="inlineStr">
        <is>
          <t>R06,R24,R25</t>
        </is>
      </c>
      <c r="F29" s="16" t="n"/>
    </row>
    <row r="30" ht="15" customHeight="1" s="14">
      <c r="A30" s="16" t="inlineStr">
        <is>
          <t>Q29</t>
        </is>
      </c>
      <c r="B30" s="16" t="n">
        <v>2</v>
      </c>
      <c r="C30" s="16" t="inlineStr">
        <is>
          <t>2026-10-02/03</t>
        </is>
      </c>
      <c r="D30" s="19" t="inlineStr">
        <is>
          <t>개인정보위 AI 에이전트 사전 실태점검 결과 2026 의결</t>
        </is>
      </c>
      <c r="E30" s="16" t="inlineStr">
        <is>
          <t>R15,R43,R44</t>
        </is>
      </c>
      <c r="F30" s="16" t="n"/>
    </row>
    <row r="31" ht="15" customHeight="1" s="14">
      <c r="A31" s="16" t="inlineStr">
        <is>
          <t>Q30</t>
        </is>
      </c>
      <c r="B31" s="16" t="n">
        <v>2</v>
      </c>
      <c r="C31" s="16" t="inlineStr">
        <is>
          <t>2026-10-02/03</t>
        </is>
      </c>
      <c r="D31" s="19" t="inlineStr">
        <is>
          <t>개인정보위 AI 학습데이터 개인정보 과징금 처분 국내 기업 2025 2026</t>
        </is>
      </c>
      <c r="E31" s="16" t="inlineStr">
        <is>
          <t>R34,R45</t>
        </is>
      </c>
      <c r="F31" s="16" t="n"/>
    </row>
    <row r="32" ht="23.85" customHeight="1" s="14">
      <c r="A32" s="16" t="inlineStr">
        <is>
          <t>DB1</t>
        </is>
      </c>
      <c r="B32" s="16" t="inlineStr">
        <is>
          <t>DB</t>
        </is>
      </c>
      <c r="C32" s="16" t="inlineStr">
        <is>
          <t>2026-10-02/03</t>
        </is>
      </c>
      <c r="D32" s="16" t="inlineStr">
        <is>
          <t>PIPC decision board (agenda.do), page request</t>
        </is>
      </c>
      <c r="E32" s="16" t="n"/>
      <c r="F32" s="16" t="inlineStr">
        <is>
          <t>Returned a different page (session-bound pagination); not usable</t>
        </is>
      </c>
    </row>
    <row r="33" ht="23.85" customHeight="1" s="14">
      <c r="A33" s="16" t="inlineStr">
        <is>
          <t>DB2</t>
        </is>
      </c>
      <c r="B33" s="16" t="inlineStr">
        <is>
          <t>DB</t>
        </is>
      </c>
      <c r="C33" s="16" t="inlineStr">
        <is>
          <t>2026-10-02/03</t>
        </is>
      </c>
      <c r="D33" s="16" t="inlineStr">
        <is>
          <t>PIPC decision board, keyword search via URL parameters</t>
        </is>
      </c>
      <c r="E33" s="16" t="n"/>
      <c r="F33" s="16" t="inlineStr">
        <is>
          <t>Search parameters ignored; returned unfiltered list; not usable</t>
        </is>
      </c>
    </row>
    <row r="34" ht="15" customHeight="1" s="14">
      <c r="A34" s="16" t="inlineStr">
        <is>
          <t>DB3</t>
        </is>
      </c>
      <c r="B34" s="16" t="inlineStr">
        <is>
          <t>DB</t>
        </is>
      </c>
      <c r="C34" s="16" t="inlineStr">
        <is>
          <t>2026-10-02/03</t>
        </is>
      </c>
      <c r="D34" s="16" t="inlineStr">
        <is>
          <t>PIPC press-release board, keyword search via URL parameters</t>
        </is>
      </c>
      <c r="E34" s="16" t="n"/>
      <c r="F34" s="16" t="inlineStr">
        <is>
          <t>Returned a different board; not usable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3" min="1" max="1"/>
    <col width="55" customWidth="1" style="13" min="2" max="2"/>
    <col width="16" customWidth="1" style="13" min="3" max="3"/>
    <col width="8" customWidth="1" style="13" min="4" max="4"/>
    <col width="12" customWidth="1" style="13" min="5" max="5"/>
    <col width="10" customWidth="1" style="13" min="6" max="6"/>
    <col width="12" customWidth="1" style="13" min="7" max="7"/>
    <col width="10" customWidth="1" style="13" min="8" max="8"/>
    <col width="45" customWidth="1" style="13" min="9" max="9"/>
    <col width="14" customWidth="1" style="13" min="10" max="10"/>
    <col width="22" customWidth="1" style="13" min="11" max="11"/>
  </cols>
  <sheetData>
    <row r="1" ht="39.55" customHeight="1" s="14">
      <c r="A1" s="18" t="inlineStr">
        <is>
          <t>RecID</t>
        </is>
      </c>
      <c r="B1" s="18" t="inlineStr">
        <is>
          <t>Instrument or case</t>
        </is>
      </c>
      <c r="C1" s="18" t="inlineStr">
        <is>
          <t>Decision date</t>
        </is>
      </c>
      <c r="D1" s="18" t="inlineStr">
        <is>
          <t>Type</t>
        </is>
      </c>
      <c r="E1" s="18" t="inlineStr">
        <is>
          <t>Subject category</t>
        </is>
      </c>
      <c r="F1" s="18" t="inlineStr">
        <is>
          <t>Decision</t>
        </is>
      </c>
      <c r="G1" s="18" t="inlineStr">
        <is>
          <t>Reason code</t>
        </is>
      </c>
      <c r="H1" s="18" t="inlineStr">
        <is>
          <t>Corpus ID</t>
        </is>
      </c>
      <c r="I1" s="18" t="inlineStr">
        <is>
          <t>Note</t>
        </is>
      </c>
      <c r="J1" s="18" t="inlineStr">
        <is>
          <t>First row of corpus entry (1/0)</t>
        </is>
      </c>
      <c r="K1" s="20" t="inlineStr">
        <is>
          <t>Surfaced by (QID)</t>
        </is>
      </c>
    </row>
    <row r="2" ht="15" customHeight="1" s="14">
      <c r="A2" s="16" t="inlineStr">
        <is>
          <t>R01</t>
        </is>
      </c>
      <c r="B2" s="16" t="inlineStr">
        <is>
          <t>Scatter Lab (Lee Luda) sanction</t>
        </is>
      </c>
      <c r="C2" s="16" t="inlineStr">
        <is>
          <t>2021-04-28</t>
        </is>
      </c>
      <c r="D2" s="16" t="inlineStr">
        <is>
          <t>T1</t>
        </is>
      </c>
      <c r="E2" s="16" t="inlineStr">
        <is>
          <t>a</t>
        </is>
      </c>
      <c r="F2" s="16" t="inlineStr">
        <is>
          <t>Core</t>
        </is>
      </c>
      <c r="G2" s="16" t="inlineStr">
        <is>
          <t>EX-CORE</t>
        </is>
      </c>
      <c r="H2" s="16" t="inlineStr">
        <is>
          <t>—</t>
        </is>
      </c>
      <c r="I2" s="16" t="inlineStr">
        <is>
          <t>Core record 1</t>
        </is>
      </c>
      <c r="J2" s="16">
        <f>IF(AND(F2="Include",COUNTIF($H$2:H2,H2)=1),1,0)</f>
        <v/>
      </c>
      <c r="K2" s="21" t="inlineStr">
        <is>
          <t>Q10</t>
        </is>
      </c>
    </row>
    <row r="3" ht="15" customHeight="1" s="14">
      <c r="A3" s="16" t="inlineStr">
        <is>
          <t>R02</t>
        </is>
      </c>
      <c r="B3" s="16" t="inlineStr">
        <is>
          <t>Worldcoin Foundation / Tools for Humanity sanction</t>
        </is>
      </c>
      <c r="C3" s="16" t="inlineStr">
        <is>
          <t>2024-09-25</t>
        </is>
      </c>
      <c r="D3" s="16" t="inlineStr">
        <is>
          <t>T1</t>
        </is>
      </c>
      <c r="E3" s="16" t="inlineStr">
        <is>
          <t>b</t>
        </is>
      </c>
      <c r="F3" s="16" t="inlineStr">
        <is>
          <t>Core</t>
        </is>
      </c>
      <c r="G3" s="16" t="inlineStr">
        <is>
          <t>EX-CORE</t>
        </is>
      </c>
      <c r="H3" s="16" t="inlineStr">
        <is>
          <t>—</t>
        </is>
      </c>
      <c r="I3" s="16" t="inlineStr">
        <is>
          <t>Core record 2</t>
        </is>
      </c>
      <c r="J3" s="16">
        <f>IF(AND(F3="Include",COUNTIF($H$2:H3,H3)=1),1,0)</f>
        <v/>
      </c>
      <c r="K3" s="21" t="inlineStr">
        <is>
          <t>Q13, Q19</t>
        </is>
      </c>
    </row>
    <row r="4" ht="15" customHeight="1" s="14">
      <c r="A4" s="16" t="inlineStr">
        <is>
          <t>R03</t>
        </is>
      </c>
      <c r="B4" s="16" t="inlineStr">
        <is>
          <t>Facebook face-recognition templates</t>
        </is>
      </c>
      <c r="C4" s="16" t="inlineStr">
        <is>
          <t>2021-08-25</t>
        </is>
      </c>
      <c r="D4" s="16" t="inlineStr">
        <is>
          <t>T1</t>
        </is>
      </c>
      <c r="E4" s="16" t="inlineStr">
        <is>
          <t>b</t>
        </is>
      </c>
      <c r="F4" s="16" t="inlineStr">
        <is>
          <t>Include</t>
        </is>
      </c>
      <c r="G4" s="16" t="n"/>
      <c r="H4" s="16" t="inlineStr">
        <is>
          <t>D1</t>
        </is>
      </c>
      <c r="I4" s="16" t="n"/>
      <c r="J4" s="16">
        <f>IF(AND(F4="Include",COUNTIF($H$2:H4,H4)=1),1,0)</f>
        <v/>
      </c>
      <c r="K4" s="21" t="inlineStr">
        <is>
          <t>Q13, Q14</t>
        </is>
      </c>
    </row>
    <row r="5" ht="15" customHeight="1" s="14">
      <c r="A5" s="16" t="inlineStr">
        <is>
          <t>R04</t>
        </is>
      </c>
      <c r="B5" s="16" t="inlineStr">
        <is>
          <t>Netflix (same session as R03)</t>
        </is>
      </c>
      <c r="C5" s="16" t="inlineStr">
        <is>
          <t>2021-08-25</t>
        </is>
      </c>
      <c r="D5" s="16" t="inlineStr">
        <is>
          <t>T1</t>
        </is>
      </c>
      <c r="E5" s="16" t="inlineStr">
        <is>
          <t>none</t>
        </is>
      </c>
      <c r="F5" s="16" t="inlineStr">
        <is>
          <t>Exclude</t>
        </is>
      </c>
      <c r="G5" s="16" t="inlineStr">
        <is>
          <t>EX-NOAI</t>
        </is>
      </c>
      <c r="H5" s="16" t="inlineStr">
        <is>
          <t>—</t>
        </is>
      </c>
      <c r="I5" s="16" t="inlineStr">
        <is>
          <t>Consent before sign-up completion</t>
        </is>
      </c>
      <c r="J5" s="16">
        <f>IF(AND(F5="Include",COUNTIF($H$2:H5,H5)=1),1,0)</f>
        <v/>
      </c>
      <c r="K5" s="21" t="inlineStr">
        <is>
          <t>Q13, Q14</t>
        </is>
      </c>
    </row>
    <row r="6" ht="15" customHeight="1" s="14">
      <c r="A6" s="16" t="inlineStr">
        <is>
          <t>R05</t>
        </is>
      </c>
      <c r="B6" s="16" t="inlineStr">
        <is>
          <t>Google improvement recommendation (same session as R03)</t>
        </is>
      </c>
      <c r="C6" s="16" t="inlineStr">
        <is>
          <t>2021-08-25</t>
        </is>
      </c>
      <c r="D6" s="16" t="inlineStr">
        <is>
          <t>T2</t>
        </is>
      </c>
      <c r="E6" s="16" t="inlineStr">
        <is>
          <t>none</t>
        </is>
      </c>
      <c r="F6" s="16" t="inlineStr">
        <is>
          <t>Exclude</t>
        </is>
      </c>
      <c r="G6" s="16" t="inlineStr">
        <is>
          <t>EX-NOAI</t>
        </is>
      </c>
      <c r="H6" s="16" t="inlineStr">
        <is>
          <t>—</t>
        </is>
      </c>
      <c r="I6" s="16" t="inlineStr">
        <is>
          <t>Notice clarity</t>
        </is>
      </c>
      <c r="J6" s="16">
        <f>IF(AND(F6="Include",COUNTIF($H$2:H6,H6)=1),1,0)</f>
        <v/>
      </c>
      <c r="K6" s="21" t="inlineStr">
        <is>
          <t>Q14</t>
        </is>
      </c>
    </row>
    <row r="7" ht="23.85" customHeight="1" s="14">
      <c r="A7" s="16" t="inlineStr">
        <is>
          <t>R06</t>
        </is>
      </c>
      <c r="B7" s="16" t="inlineStr">
        <is>
          <t>Ministry of Justice AI identification and tracking project</t>
        </is>
      </c>
      <c r="C7" s="16" t="inlineStr">
        <is>
          <t>2022-04-27</t>
        </is>
      </c>
      <c r="D7" s="16" t="inlineStr">
        <is>
          <t>T1</t>
        </is>
      </c>
      <c r="E7" s="16" t="inlineStr">
        <is>
          <t>a; b</t>
        </is>
      </c>
      <c r="F7" s="16" t="inlineStr">
        <is>
          <t>Include</t>
        </is>
      </c>
      <c r="G7" s="16" t="n"/>
      <c r="H7" s="16" t="inlineStr">
        <is>
          <t>D2</t>
        </is>
      </c>
      <c r="I7" s="16" t="inlineStr">
        <is>
          <t>Constitutional Court dismissal 2026-02-26 coded as follow-up</t>
        </is>
      </c>
      <c r="J7" s="16">
        <f>IF(AND(F7="Include",COUNTIF($H$2:H7,H7)=1),1,0)</f>
        <v/>
      </c>
      <c r="K7" s="21" t="inlineStr">
        <is>
          <t>Q07, Q08, Q13, Q28</t>
        </is>
      </c>
    </row>
    <row r="8" ht="15" customHeight="1" s="14">
      <c r="A8" s="16" t="inlineStr">
        <is>
          <t>R07</t>
        </is>
      </c>
      <c r="B8" s="16" t="inlineStr">
        <is>
          <t>Google and Meta third-party behavioral data</t>
        </is>
      </c>
      <c r="C8" s="16" t="inlineStr">
        <is>
          <t>2022-09-14</t>
        </is>
      </c>
      <c r="D8" s="16" t="inlineStr">
        <is>
          <t>T1</t>
        </is>
      </c>
      <c r="E8" s="16" t="inlineStr">
        <is>
          <t>c</t>
        </is>
      </c>
      <c r="F8" s="16" t="inlineStr">
        <is>
          <t>Include</t>
        </is>
      </c>
      <c r="G8" s="16" t="n"/>
      <c r="H8" s="16" t="inlineStr">
        <is>
          <t>D3</t>
        </is>
      </c>
      <c r="I8" s="16" t="inlineStr">
        <is>
          <t>Court follow-up 2025-01-23</t>
        </is>
      </c>
      <c r="J8" s="16">
        <f>IF(AND(F8="Include",COUNTIF($H$2:H8,H8)=1),1,0)</f>
        <v/>
      </c>
      <c r="K8" s="21" t="inlineStr">
        <is>
          <t>Q01, Q04, Q05, Q21</t>
        </is>
      </c>
    </row>
    <row r="9" ht="15" customHeight="1" s="14">
      <c r="A9" s="16" t="inlineStr">
        <is>
          <t>R08</t>
        </is>
      </c>
      <c r="B9" s="16" t="inlineStr">
        <is>
          <t>Meta Ireland and Instagram (earlier period)</t>
        </is>
      </c>
      <c r="C9" s="16" t="inlineStr">
        <is>
          <t>2023-07</t>
        </is>
      </c>
      <c r="D9" s="16" t="inlineStr">
        <is>
          <t>T1</t>
        </is>
      </c>
      <c r="E9" s="16" t="inlineStr">
        <is>
          <t>c</t>
        </is>
      </c>
      <c r="F9" s="16" t="inlineStr">
        <is>
          <t>Include</t>
        </is>
      </c>
      <c r="G9" s="16" t="n"/>
      <c r="H9" s="16" t="inlineStr">
        <is>
          <t>D4</t>
        </is>
      </c>
      <c r="I9" s="16" t="n"/>
      <c r="J9" s="16">
        <f>IF(AND(F9="Include",COUNTIF($H$2:H9,H9)=1),1,0)</f>
        <v/>
      </c>
      <c r="K9" s="21" t="inlineStr">
        <is>
          <t>Q14, Q15, Q17</t>
        </is>
      </c>
    </row>
    <row r="10" ht="15" customHeight="1" s="14">
      <c r="A10" s="16" t="inlineStr">
        <is>
          <t>R09</t>
        </is>
      </c>
      <c r="B10" s="16" t="inlineStr">
        <is>
          <t>OpenAI (ChatGPT)</t>
        </is>
      </c>
      <c r="C10" s="16" t="inlineStr">
        <is>
          <t>2023-07-26</t>
        </is>
      </c>
      <c r="D10" s="16" t="inlineStr">
        <is>
          <t>T1; T2</t>
        </is>
      </c>
      <c r="E10" s="16" t="inlineStr">
        <is>
          <t>a</t>
        </is>
      </c>
      <c r="F10" s="16" t="inlineStr">
        <is>
          <t>Include</t>
        </is>
      </c>
      <c r="G10" s="16" t="n"/>
      <c r="H10" s="16" t="inlineStr">
        <is>
          <t>D5</t>
        </is>
      </c>
      <c r="I10" s="16" t="n"/>
      <c r="J10" s="16">
        <f>IF(AND(F10="Include",COUNTIF($H$2:H10,H10)=1),1,0)</f>
        <v/>
      </c>
      <c r="K10" s="21" t="inlineStr">
        <is>
          <t>Q15, Q17</t>
        </is>
      </c>
    </row>
    <row r="11" ht="15" customHeight="1" s="14">
      <c r="A11" s="16" t="inlineStr">
        <is>
          <t>R10</t>
        </is>
      </c>
      <c r="B11" s="16" t="inlineStr">
        <is>
          <t>Pre-inspection of six LLM-based services</t>
        </is>
      </c>
      <c r="C11" s="16" t="inlineStr">
        <is>
          <t>2024-03-27</t>
        </is>
      </c>
      <c r="D11" s="16" t="inlineStr">
        <is>
          <t>T2</t>
        </is>
      </c>
      <c r="E11" s="16" t="inlineStr">
        <is>
          <t>a</t>
        </is>
      </c>
      <c r="F11" s="16" t="inlineStr">
        <is>
          <t>Include</t>
        </is>
      </c>
      <c r="G11" s="16" t="n"/>
      <c r="H11" s="16" t="inlineStr">
        <is>
          <t>D6</t>
        </is>
      </c>
      <c r="I11" s="16" t="n"/>
      <c r="J11" s="16">
        <f>IF(AND(F11="Include",COUNTIF($H$2:H11,H11)=1),1,0)</f>
        <v/>
      </c>
      <c r="K11" s="21" t="inlineStr">
        <is>
          <t>Q03, Q17, Q23</t>
        </is>
      </c>
    </row>
    <row r="12" ht="23.85" customHeight="1" s="14">
      <c r="A12" s="16" t="inlineStr">
        <is>
          <t>R11</t>
        </is>
      </c>
      <c r="B12" s="16" t="inlineStr">
        <is>
          <t>Pre-inspection of AI application services (SK Telecom, SNOW, DeepL, VUNO)</t>
        </is>
      </c>
      <c r="C12" s="16" t="inlineStr">
        <is>
          <t>2024-06-12</t>
        </is>
      </c>
      <c r="D12" s="16" t="inlineStr">
        <is>
          <t>T2</t>
        </is>
      </c>
      <c r="E12" s="16" t="inlineStr">
        <is>
          <t>a</t>
        </is>
      </c>
      <c r="F12" s="16" t="inlineStr">
        <is>
          <t>Include</t>
        </is>
      </c>
      <c r="G12" s="16" t="n"/>
      <c r="H12" s="16" t="inlineStr">
        <is>
          <t>D7</t>
        </is>
      </c>
      <c r="I12" s="16" t="inlineStr">
        <is>
          <t>New in protocol run</t>
        </is>
      </c>
      <c r="J12" s="16">
        <f>IF(AND(F12="Include",COUNTIF($H$2:H12,H12)=1),1,0)</f>
        <v/>
      </c>
      <c r="K12" s="21" t="inlineStr">
        <is>
          <t>Q23</t>
        </is>
      </c>
    </row>
    <row r="13" ht="15" customHeight="1" s="14">
      <c r="A13" s="16" t="inlineStr">
        <is>
          <t>R12</t>
        </is>
      </c>
      <c r="B13" s="16" t="inlineStr">
        <is>
          <t>Meta sensitive information and advertising categories</t>
        </is>
      </c>
      <c r="C13" s="16" t="inlineStr">
        <is>
          <t>2024-11-04</t>
        </is>
      </c>
      <c r="D13" s="16" t="inlineStr">
        <is>
          <t>T1</t>
        </is>
      </c>
      <c r="E13" s="16" t="inlineStr">
        <is>
          <t>c</t>
        </is>
      </c>
      <c r="F13" s="16" t="inlineStr">
        <is>
          <t>Include</t>
        </is>
      </c>
      <c r="G13" s="16" t="n"/>
      <c r="H13" s="16" t="inlineStr">
        <is>
          <t>D8</t>
        </is>
      </c>
      <c r="I13" s="16" t="n"/>
      <c r="J13" s="16">
        <f>IF(AND(F13="Include",COUNTIF($H$2:H13,H13)=1),1,0)</f>
        <v/>
      </c>
      <c r="K13" s="21" t="inlineStr">
        <is>
          <t>Q04</t>
        </is>
      </c>
    </row>
    <row r="14" ht="15" customHeight="1" s="14">
      <c r="A14" s="16" t="inlineStr">
        <is>
          <t>R13</t>
        </is>
      </c>
      <c r="B14" s="16" t="inlineStr">
        <is>
          <t>Kakao Pay, Apple, Alipay (NSF risk scores)</t>
        </is>
      </c>
      <c r="C14" s="16" t="inlineStr">
        <is>
          <t>2025-01-22</t>
        </is>
      </c>
      <c r="D14" s="16" t="inlineStr">
        <is>
          <t>T1</t>
        </is>
      </c>
      <c r="E14" s="16" t="inlineStr">
        <is>
          <t>c</t>
        </is>
      </c>
      <c r="F14" s="16" t="inlineStr">
        <is>
          <t>Include</t>
        </is>
      </c>
      <c r="G14" s="16" t="n"/>
      <c r="H14" s="16" t="inlineStr">
        <is>
          <t>D9</t>
        </is>
      </c>
      <c r="I14" s="16" t="inlineStr">
        <is>
          <t>Court follow-up 2026-06</t>
        </is>
      </c>
      <c r="J14" s="16">
        <f>IF(AND(F14="Include",COUNTIF($H$2:H14,H14)=1),1,0)</f>
        <v/>
      </c>
      <c r="K14" s="21" t="inlineStr">
        <is>
          <t>Q06</t>
        </is>
      </c>
    </row>
    <row r="15" ht="15" customHeight="1" s="14">
      <c r="A15" s="16" t="inlineStr">
        <is>
          <t>R14</t>
        </is>
      </c>
      <c r="B15" s="16" t="inlineStr">
        <is>
          <t>DeepSeek pre-inspection</t>
        </is>
      </c>
      <c r="C15" s="16" t="inlineStr">
        <is>
          <t>2025-04-23</t>
        </is>
      </c>
      <c r="D15" s="16" t="inlineStr">
        <is>
          <t>T2</t>
        </is>
      </c>
      <c r="E15" s="16" t="inlineStr">
        <is>
          <t>a</t>
        </is>
      </c>
      <c r="F15" s="16" t="inlineStr">
        <is>
          <t>Include</t>
        </is>
      </c>
      <c r="G15" s="16" t="n"/>
      <c r="H15" s="16" t="inlineStr">
        <is>
          <t>D10</t>
        </is>
      </c>
      <c r="I15" s="16" t="n"/>
      <c r="J15" s="16">
        <f>IF(AND(F15="Include",COUNTIF($H$2:H15,H15)=1),1,0)</f>
        <v/>
      </c>
      <c r="K15" s="21" t="inlineStr">
        <is>
          <t>Q02</t>
        </is>
      </c>
    </row>
    <row r="16" ht="15" customHeight="1" s="14">
      <c r="A16" s="16" t="inlineStr">
        <is>
          <t>R15</t>
        </is>
      </c>
      <c r="B16" s="16" t="inlineStr">
        <is>
          <t>Pre-inspection of AI digital textbooks (KERIS, Ministry of Education)</t>
        </is>
      </c>
      <c r="C16" s="16" t="inlineStr">
        <is>
          <t>2025-05-14</t>
        </is>
      </c>
      <c r="D16" s="16" t="inlineStr">
        <is>
          <t>T2</t>
        </is>
      </c>
      <c r="E16" s="16" t="inlineStr">
        <is>
          <t>a</t>
        </is>
      </c>
      <c r="F16" s="16" t="inlineStr">
        <is>
          <t>Include</t>
        </is>
      </c>
      <c r="G16" s="16" t="n"/>
      <c r="H16" s="16" t="inlineStr">
        <is>
          <t>D11</t>
        </is>
      </c>
      <c r="I16" s="16" t="inlineStr">
        <is>
          <t>New in protocol run</t>
        </is>
      </c>
      <c r="J16" s="16">
        <f>IF(AND(F16="Include",COUNTIF($H$2:H16,H16)=1),1,0)</f>
        <v/>
      </c>
      <c r="K16" s="21" t="inlineStr">
        <is>
          <t>Q23, Q29</t>
        </is>
      </c>
    </row>
    <row r="17" ht="23.85" customHeight="1" s="14">
      <c r="A17" s="16" t="inlineStr">
        <is>
          <t>R16</t>
        </is>
      </c>
      <c r="B17" s="16" t="inlineStr">
        <is>
          <t>Face authentication at mobile-phone activation (recommendation to MSIT)</t>
        </is>
      </c>
      <c r="C17" s="16" t="inlineStr">
        <is>
          <t>2026-05-27</t>
        </is>
      </c>
      <c r="D17" s="16" t="inlineStr">
        <is>
          <t>T4</t>
        </is>
      </c>
      <c r="E17" s="16" t="inlineStr">
        <is>
          <t>b</t>
        </is>
      </c>
      <c r="F17" s="16" t="inlineStr">
        <is>
          <t>Include</t>
        </is>
      </c>
      <c r="G17" s="16" t="n"/>
      <c r="H17" s="16" t="inlineStr">
        <is>
          <t>D12</t>
        </is>
      </c>
      <c r="I17" s="16" t="inlineStr">
        <is>
          <t>New in protocol run</t>
        </is>
      </c>
      <c r="J17" s="16">
        <f>IF(AND(F17="Include",COUNTIF($H$2:H17,H17)=1),1,0)</f>
        <v/>
      </c>
      <c r="K17" s="21" t="inlineStr">
        <is>
          <t>Q25</t>
        </is>
      </c>
    </row>
    <row r="18" ht="23.85" customHeight="1" s="14">
      <c r="A18" s="16" t="inlineStr">
        <is>
          <t>R17</t>
        </is>
      </c>
      <c r="B18" s="16" t="inlineStr">
        <is>
          <t>Coupang (security breach and third-party activity records)</t>
        </is>
      </c>
      <c r="C18" s="16" t="inlineStr">
        <is>
          <t>2026-06-10</t>
        </is>
      </c>
      <c r="D18" s="16" t="inlineStr">
        <is>
          <t>T1</t>
        </is>
      </c>
      <c r="E18" s="16" t="inlineStr">
        <is>
          <t>c (component)</t>
        </is>
      </c>
      <c r="F18" s="16" t="inlineStr">
        <is>
          <t>Include</t>
        </is>
      </c>
      <c r="G18" s="16" t="n"/>
      <c r="H18" s="16" t="inlineStr">
        <is>
          <t>D13</t>
        </is>
      </c>
      <c r="I18" s="16" t="inlineStr">
        <is>
          <t>Behavioral-data component only; breach component excluded (EX-BREACH)</t>
        </is>
      </c>
      <c r="J18" s="16">
        <f>IF(AND(F18="Include",COUNTIF($H$2:H18,H18)=1),1,0)</f>
        <v/>
      </c>
      <c r="K18" s="21" t="inlineStr">
        <is>
          <t>Q01, Q09, Q27</t>
        </is>
      </c>
    </row>
    <row r="19" ht="15" customHeight="1" s="14">
      <c r="A19" s="16" t="inlineStr">
        <is>
          <t>R18</t>
        </is>
      </c>
      <c r="B19" s="16" t="inlineStr">
        <is>
          <t>TikTok; Apple (Siri)</t>
        </is>
      </c>
      <c r="C19" s="16" t="inlineStr">
        <is>
          <t>2026-07-22</t>
        </is>
      </c>
      <c r="D19" s="16" t="inlineStr">
        <is>
          <t>T1</t>
        </is>
      </c>
      <c r="E19" s="16" t="inlineStr">
        <is>
          <t>a; c</t>
        </is>
      </c>
      <c r="F19" s="16" t="inlineStr">
        <is>
          <t>Include</t>
        </is>
      </c>
      <c r="G19" s="16" t="n"/>
      <c r="H19" s="16" t="inlineStr">
        <is>
          <t>D14</t>
        </is>
      </c>
      <c r="I19" s="16" t="n"/>
      <c r="J19" s="16">
        <f>IF(AND(F19="Include",COUNTIF($H$2:H19,H19)=1),1,0)</f>
        <v/>
      </c>
      <c r="K19" s="21" t="inlineStr">
        <is>
          <t>Q01, Q09, Q20</t>
        </is>
      </c>
    </row>
    <row r="20" ht="23.85" customHeight="1" s="14">
      <c r="A20" s="16" t="inlineStr">
        <is>
          <t>R19</t>
        </is>
      </c>
      <c r="B20" s="16" t="inlineStr">
        <is>
          <t>Facebook provision to third parties</t>
        </is>
      </c>
      <c r="C20" s="16" t="inlineStr">
        <is>
          <t>2020-11-25</t>
        </is>
      </c>
      <c r="D20" s="16" t="inlineStr">
        <is>
          <t>T1</t>
        </is>
      </c>
      <c r="E20" s="16" t="inlineStr">
        <is>
          <t>none</t>
        </is>
      </c>
      <c r="F20" s="16" t="inlineStr">
        <is>
          <t>Exclude</t>
        </is>
      </c>
      <c r="G20" s="16" t="inlineStr">
        <is>
          <t>EX-NOAI</t>
        </is>
      </c>
      <c r="H20" s="16" t="inlineStr">
        <is>
          <t>—</t>
        </is>
      </c>
      <c r="I20" s="16" t="inlineStr">
        <is>
          <t>Supreme Court confirmation 2025-03-13 used as context only</t>
        </is>
      </c>
      <c r="J20" s="16">
        <f>IF(AND(F20="Include",COUNTIF($H$2:H20,H20)=1),1,0)</f>
        <v/>
      </c>
      <c r="K20" s="21" t="inlineStr">
        <is>
          <t>Q09, Q14</t>
        </is>
      </c>
    </row>
    <row r="21" ht="15" customHeight="1" s="14">
      <c r="A21" s="16" t="inlineStr">
        <is>
          <t>R20</t>
        </is>
      </c>
      <c r="B21" s="16" t="inlineStr">
        <is>
          <t>AliExpress overseas transfer</t>
        </is>
      </c>
      <c r="C21" s="16" t="inlineStr">
        <is>
          <t>2024-07</t>
        </is>
      </c>
      <c r="D21" s="16" t="inlineStr">
        <is>
          <t>T1</t>
        </is>
      </c>
      <c r="E21" s="16" t="inlineStr">
        <is>
          <t>none</t>
        </is>
      </c>
      <c r="F21" s="16" t="inlineStr">
        <is>
          <t>Exclude</t>
        </is>
      </c>
      <c r="G21" s="16" t="inlineStr">
        <is>
          <t>EX-NOAI</t>
        </is>
      </c>
      <c r="H21" s="16" t="inlineStr">
        <is>
          <t>—</t>
        </is>
      </c>
      <c r="I21" s="16" t="n"/>
      <c r="J21" s="16">
        <f>IF(AND(F21="Include",COUNTIF($H$2:H21,H21)=1),1,0)</f>
        <v/>
      </c>
      <c r="K21" s="21" t="inlineStr">
        <is>
          <t>Q02</t>
        </is>
      </c>
    </row>
    <row r="22" ht="15" customHeight="1" s="14">
      <c r="A22" s="16" t="inlineStr">
        <is>
          <t>R21</t>
        </is>
      </c>
      <c r="B22" s="16" t="inlineStr">
        <is>
          <t>SK Telecom USIM breach</t>
        </is>
      </c>
      <c r="C22" s="16" t="inlineStr">
        <is>
          <t>2025</t>
        </is>
      </c>
      <c r="D22" s="16" t="inlineStr">
        <is>
          <t>T1</t>
        </is>
      </c>
      <c r="E22" s="16" t="inlineStr">
        <is>
          <t>none</t>
        </is>
      </c>
      <c r="F22" s="16" t="inlineStr">
        <is>
          <t>Exclude</t>
        </is>
      </c>
      <c r="G22" s="16" t="inlineStr">
        <is>
          <t>EX-BREACH</t>
        </is>
      </c>
      <c r="H22" s="16" t="inlineStr">
        <is>
          <t>—</t>
        </is>
      </c>
      <c r="I22" s="16" t="n"/>
      <c r="J22" s="16">
        <f>IF(AND(F22="Include",COUNTIF($H$2:H22,H22)=1),1,0)</f>
        <v/>
      </c>
      <c r="K22" s="21" t="inlineStr">
        <is>
          <t>Q09</t>
        </is>
      </c>
    </row>
    <row r="23" ht="15" customHeight="1" s="14">
      <c r="A23" s="16" t="inlineStr">
        <is>
          <t>R22</t>
        </is>
      </c>
      <c r="B23" s="16" t="inlineStr">
        <is>
          <t>KT femtocell breach</t>
        </is>
      </c>
      <c r="C23" s="16" t="inlineStr">
        <is>
          <t>2026-07-29</t>
        </is>
      </c>
      <c r="D23" s="16" t="inlineStr">
        <is>
          <t>T1</t>
        </is>
      </c>
      <c r="E23" s="16" t="inlineStr">
        <is>
          <t>none</t>
        </is>
      </c>
      <c r="F23" s="16" t="inlineStr">
        <is>
          <t>Exclude</t>
        </is>
      </c>
      <c r="G23" s="16" t="inlineStr">
        <is>
          <t>EX-BREACH</t>
        </is>
      </c>
      <c r="H23" s="16" t="inlineStr">
        <is>
          <t>—</t>
        </is>
      </c>
      <c r="I23" s="16" t="n"/>
      <c r="J23" s="16">
        <f>IF(AND(F23="Include",COUNTIF($H$2:H23,H23)=1),1,0)</f>
        <v/>
      </c>
      <c r="K23" s="21" t="inlineStr">
        <is>
          <t>Q01, Q09</t>
        </is>
      </c>
    </row>
    <row r="24" ht="23.85" customHeight="1" s="14">
      <c r="A24" s="16" t="inlineStr">
        <is>
          <t>R23</t>
        </is>
      </c>
      <c r="B24" s="16" t="inlineStr">
        <is>
          <t>Coupang Fulfillment Services employment exclusion list</t>
        </is>
      </c>
      <c r="C24" s="16" t="inlineStr">
        <is>
          <t>2026-06-10</t>
        </is>
      </c>
      <c r="D24" s="16" t="inlineStr">
        <is>
          <t>T1</t>
        </is>
      </c>
      <c r="E24" s="16" t="inlineStr">
        <is>
          <t>none</t>
        </is>
      </c>
      <c r="F24" s="16" t="inlineStr">
        <is>
          <t>Exclude</t>
        </is>
      </c>
      <c r="G24" s="16" t="inlineStr">
        <is>
          <t>EX-NOAI</t>
        </is>
      </c>
      <c r="H24" s="16" t="inlineStr">
        <is>
          <t>—</t>
        </is>
      </c>
      <c r="I24" s="16" t="inlineStr">
        <is>
          <t>List-based processing of sensitive information; labor relevance noted</t>
        </is>
      </c>
      <c r="J24" s="16">
        <f>IF(AND(F24="Include",COUNTIF($H$2:H24,H24)=1),1,0)</f>
        <v/>
      </c>
      <c r="K24" s="21" t="inlineStr">
        <is>
          <t>Q27</t>
        </is>
      </c>
    </row>
    <row r="25" ht="15" customHeight="1" s="14">
      <c r="A25" s="16" t="inlineStr">
        <is>
          <t>R24</t>
        </is>
      </c>
      <c r="B25" s="16" t="inlineStr">
        <is>
          <t>Prior-adequacy review: AI CCTV selective monitoring (Vectorsys)</t>
        </is>
      </c>
      <c r="C25" s="16" t="inlineStr">
        <is>
          <t>2024-01-24</t>
        </is>
      </c>
      <c r="D25" s="16" t="inlineStr">
        <is>
          <t>T3</t>
        </is>
      </c>
      <c r="E25" s="16" t="inlineStr">
        <is>
          <t>a</t>
        </is>
      </c>
      <c r="F25" s="16" t="inlineStr">
        <is>
          <t>Include</t>
        </is>
      </c>
      <c r="G25" s="16" t="n"/>
      <c r="H25" s="16" t="inlineStr">
        <is>
          <t>A1</t>
        </is>
      </c>
      <c r="I25" s="16" t="inlineStr">
        <is>
          <t>New in protocol run</t>
        </is>
      </c>
      <c r="J25" s="16">
        <f>IF(AND(F25="Include",COUNTIF($H$2:H25,H25)=1),1,0)</f>
        <v/>
      </c>
      <c r="K25" s="21" t="inlineStr">
        <is>
          <t>Q28</t>
        </is>
      </c>
    </row>
    <row r="26" ht="23.85" customHeight="1" s="14">
      <c r="A26" s="16" t="inlineStr">
        <is>
          <t>R25</t>
        </is>
      </c>
      <c r="B26" s="16" t="inlineStr">
        <is>
          <t>Prior-adequacy review: homomorphic-encryption statistics (Disilo, Banksalad)</t>
        </is>
      </c>
      <c r="C26" s="16" t="inlineStr">
        <is>
          <t>2024-01-24</t>
        </is>
      </c>
      <c r="D26" s="16" t="inlineStr">
        <is>
          <t>T3</t>
        </is>
      </c>
      <c r="E26" s="16" t="inlineStr">
        <is>
          <t>none</t>
        </is>
      </c>
      <c r="F26" s="16" t="inlineStr">
        <is>
          <t>Exclude</t>
        </is>
      </c>
      <c r="G26" s="16" t="inlineStr">
        <is>
          <t>EX-NOAI</t>
        </is>
      </c>
      <c r="H26" s="16" t="inlineStr">
        <is>
          <t>—</t>
        </is>
      </c>
      <c r="I26" s="16" t="n"/>
      <c r="J26" s="16">
        <f>IF(AND(F26="Include",COUNTIF($H$2:H26,H26)=1),1,0)</f>
        <v/>
      </c>
      <c r="K26" s="21" t="inlineStr">
        <is>
          <t>Q28</t>
        </is>
      </c>
    </row>
    <row r="27" ht="23.85" customHeight="1" s="14">
      <c r="A27" s="16" t="inlineStr">
        <is>
          <t>R26</t>
        </is>
      </c>
      <c r="B27" s="16" t="inlineStr">
        <is>
          <t>Sandbox exemptions: original video for autonomous driving (four firms)</t>
        </is>
      </c>
      <c r="C27" s="16" t="inlineStr">
        <is>
          <t>2024-07-31</t>
        </is>
      </c>
      <c r="D27" s="16" t="inlineStr">
        <is>
          <t>T5</t>
        </is>
      </c>
      <c r="E27" s="16" t="inlineStr">
        <is>
          <t>a</t>
        </is>
      </c>
      <c r="F27" s="16" t="inlineStr">
        <is>
          <t>Include</t>
        </is>
      </c>
      <c r="G27" s="16" t="n"/>
      <c r="H27" s="16" t="inlineStr">
        <is>
          <t>A2</t>
        </is>
      </c>
      <c r="I27" s="16" t="inlineStr">
        <is>
          <t>Merged into A2</t>
        </is>
      </c>
      <c r="J27" s="16">
        <f>IF(AND(F27="Include",COUNTIF($H$2:H27,H27)=1),1,0)</f>
        <v/>
      </c>
      <c r="K27" s="21" t="inlineStr">
        <is>
          <t>Q11</t>
        </is>
      </c>
    </row>
    <row r="28" ht="15" customHeight="1" s="14">
      <c r="A28" s="16" t="inlineStr">
        <is>
          <t>R27</t>
        </is>
      </c>
      <c r="B28" s="16" t="inlineStr">
        <is>
          <t>Easing of sandbox safeguard criteria for original video</t>
        </is>
      </c>
      <c r="C28" s="16" t="inlineStr">
        <is>
          <t>2026-01-23</t>
        </is>
      </c>
      <c r="D28" s="16" t="inlineStr">
        <is>
          <t>T5</t>
        </is>
      </c>
      <c r="E28" s="16" t="inlineStr">
        <is>
          <t>a</t>
        </is>
      </c>
      <c r="F28" s="16" t="inlineStr">
        <is>
          <t>Include</t>
        </is>
      </c>
      <c r="G28" s="16" t="n"/>
      <c r="H28" s="16" t="inlineStr">
        <is>
          <t>A2</t>
        </is>
      </c>
      <c r="I28" s="16" t="inlineStr">
        <is>
          <t>Merged into A2</t>
        </is>
      </c>
      <c r="J28" s="16">
        <f>IF(AND(F28="Include",COUNTIF($H$2:H28,H28)=1),1,0)</f>
        <v/>
      </c>
      <c r="K28" s="21" t="inlineStr">
        <is>
          <t>Q11</t>
        </is>
      </c>
    </row>
    <row r="29" ht="15" customHeight="1" s="14">
      <c r="A29" s="16" t="inlineStr">
        <is>
          <t>R28</t>
        </is>
      </c>
      <c r="B29" s="16" t="inlineStr">
        <is>
          <t>Sandbox exemption: delivery robot original video (Neubility)</t>
        </is>
      </c>
      <c r="C29" s="16" t="inlineStr">
        <is>
          <t>2026-05-06</t>
        </is>
      </c>
      <c r="D29" s="16" t="inlineStr">
        <is>
          <t>T5</t>
        </is>
      </c>
      <c r="E29" s="16" t="inlineStr">
        <is>
          <t>a</t>
        </is>
      </c>
      <c r="F29" s="16" t="inlineStr">
        <is>
          <t>Include</t>
        </is>
      </c>
      <c r="G29" s="16" t="n"/>
      <c r="H29" s="16" t="inlineStr">
        <is>
          <t>A2</t>
        </is>
      </c>
      <c r="I29" s="16" t="inlineStr">
        <is>
          <t>Merged into A2</t>
        </is>
      </c>
      <c r="J29" s="16">
        <f>IF(AND(F29="Include",COUNTIF($H$2:H29,H29)=1),1,0)</f>
        <v/>
      </c>
      <c r="K29" s="21" t="inlineStr">
        <is>
          <t>Q11</t>
        </is>
      </c>
    </row>
    <row r="30" ht="23.85" customHeight="1" s="14">
      <c r="A30" s="16" t="inlineStr">
        <is>
          <t>R29</t>
        </is>
      </c>
      <c r="B30" s="16" t="inlineStr">
        <is>
          <t>Prior-adequacy review: AI voice-phishing detection (SK Telecom, IBK)</t>
        </is>
      </c>
      <c r="C30" s="16" t="inlineStr">
        <is>
          <t>2024-09</t>
        </is>
      </c>
      <c r="D30" s="16" t="inlineStr">
        <is>
          <t>T3</t>
        </is>
      </c>
      <c r="E30" s="16" t="inlineStr">
        <is>
          <t>a; c</t>
        </is>
      </c>
      <c r="F30" s="16" t="inlineStr">
        <is>
          <t>Include</t>
        </is>
      </c>
      <c r="G30" s="16" t="n"/>
      <c r="H30" s="16" t="inlineStr">
        <is>
          <t>A3</t>
        </is>
      </c>
      <c r="I30" s="16" t="inlineStr">
        <is>
          <t>Merged into A3</t>
        </is>
      </c>
      <c r="J30" s="16">
        <f>IF(AND(F30="Include",COUNTIF($H$2:H30,H30)=1),1,0)</f>
        <v/>
      </c>
      <c r="K30" s="21" t="inlineStr">
        <is>
          <t>Q12</t>
        </is>
      </c>
    </row>
    <row r="31" ht="15" customHeight="1" s="14">
      <c r="A31" s="16" t="inlineStr">
        <is>
          <t>R30</t>
        </is>
      </c>
      <c r="B31" s="16" t="inlineStr">
        <is>
          <t>Prior-adequacy review: AI voice-phishing detection (KT, LG Uplus)</t>
        </is>
      </c>
      <c r="C31" s="16" t="inlineStr">
        <is>
          <t>2025-07-09</t>
        </is>
      </c>
      <c r="D31" s="16" t="inlineStr">
        <is>
          <t>T3</t>
        </is>
      </c>
      <c r="E31" s="16" t="inlineStr">
        <is>
          <t>a; c</t>
        </is>
      </c>
      <c r="F31" s="16" t="inlineStr">
        <is>
          <t>Include</t>
        </is>
      </c>
      <c r="G31" s="16" t="n"/>
      <c r="H31" s="16" t="inlineStr">
        <is>
          <t>A3</t>
        </is>
      </c>
      <c r="I31" s="16" t="inlineStr">
        <is>
          <t>Merged into A3</t>
        </is>
      </c>
      <c r="J31" s="16">
        <f>IF(AND(F31="Include",COUNTIF($H$2:H31,H31)=1),1,0)</f>
        <v/>
      </c>
      <c r="K31" s="21" t="inlineStr">
        <is>
          <t>Q12</t>
        </is>
      </c>
    </row>
    <row r="32" ht="23.85" customHeight="1" s="14">
      <c r="A32" s="16" t="inlineStr">
        <is>
          <t>R31</t>
        </is>
      </c>
      <c r="B32" s="16" t="inlineStr">
        <is>
          <t>Prior-adequacy review: Toss FacePay</t>
        </is>
      </c>
      <c r="C32" s="16" t="inlineStr">
        <is>
          <t>before 2025-03 (verify)</t>
        </is>
      </c>
      <c r="D32" s="16" t="inlineStr">
        <is>
          <t>T3</t>
        </is>
      </c>
      <c r="E32" s="16" t="inlineStr">
        <is>
          <t>b</t>
        </is>
      </c>
      <c r="F32" s="16" t="inlineStr">
        <is>
          <t>Include</t>
        </is>
      </c>
      <c r="G32" s="16" t="n"/>
      <c r="H32" s="16" t="inlineStr">
        <is>
          <t>A4</t>
        </is>
      </c>
      <c r="I32" s="16" t="inlineStr">
        <is>
          <t>Date not verified</t>
        </is>
      </c>
      <c r="J32" s="16">
        <f>IF(AND(F32="Include",COUNTIF($H$2:H32,H32)=1),1,0)</f>
        <v/>
      </c>
      <c r="K32" s="21" t="inlineStr">
        <is>
          <t>Q25, Q26</t>
        </is>
      </c>
    </row>
    <row r="33" ht="15" customHeight="1" s="14">
      <c r="A33" s="16" t="inlineStr">
        <is>
          <t>R32</t>
        </is>
      </c>
      <c r="B33" s="16" t="inlineStr">
        <is>
          <t>Prior-adequacy review: Kakao Kanana AI assistant</t>
        </is>
      </c>
      <c r="C33" s="16" t="inlineStr">
        <is>
          <t>2025-03</t>
        </is>
      </c>
      <c r="D33" s="16" t="inlineStr">
        <is>
          <t>T3</t>
        </is>
      </c>
      <c r="E33" s="16" t="inlineStr">
        <is>
          <t>a</t>
        </is>
      </c>
      <c r="F33" s="16" t="inlineStr">
        <is>
          <t>Include</t>
        </is>
      </c>
      <c r="G33" s="16" t="n"/>
      <c r="H33" s="16" t="inlineStr">
        <is>
          <t>A5</t>
        </is>
      </c>
      <c r="I33" s="16" t="inlineStr">
        <is>
          <t>New in protocol run</t>
        </is>
      </c>
      <c r="J33" s="16">
        <f>IF(AND(F33="Include",COUNTIF($H$2:H33,H33)=1),1,0)</f>
        <v/>
      </c>
      <c r="K33" s="21" t="inlineStr">
        <is>
          <t>Q24</t>
        </is>
      </c>
    </row>
    <row r="34" ht="15" customHeight="1" s="14">
      <c r="A34" s="16" t="inlineStr">
        <is>
          <t>R33</t>
        </is>
      </c>
      <c r="B34" s="16" t="inlineStr">
        <is>
          <t>Prior-adequacy review: Naver AI Tab search agent</t>
        </is>
      </c>
      <c r="C34" s="16" t="inlineStr">
        <is>
          <t>2026-05-27</t>
        </is>
      </c>
      <c r="D34" s="16" t="inlineStr">
        <is>
          <t>T3</t>
        </is>
      </c>
      <c r="E34" s="16" t="inlineStr">
        <is>
          <t>a; c</t>
        </is>
      </c>
      <c r="F34" s="16" t="inlineStr">
        <is>
          <t>Include</t>
        </is>
      </c>
      <c r="G34" s="16" t="n"/>
      <c r="H34" s="16" t="inlineStr">
        <is>
          <t>A6</t>
        </is>
      </c>
      <c r="I34" s="16" t="inlineStr">
        <is>
          <t>New in protocol run</t>
        </is>
      </c>
      <c r="J34" s="16">
        <f>IF(AND(F34="Include",COUNTIF($H$2:H34,H34)=1),1,0)</f>
        <v/>
      </c>
      <c r="K34" s="21" t="inlineStr">
        <is>
          <t>Q24</t>
        </is>
      </c>
    </row>
    <row r="35" ht="23.85" customHeight="1" s="14">
      <c r="A35" s="16" t="inlineStr">
        <is>
          <t>R34</t>
        </is>
      </c>
      <c r="B35" s="16" t="inlineStr">
        <is>
          <t>PIPA amendment: special provision for AI development</t>
        </is>
      </c>
      <c r="C35" s="16" t="inlineStr">
        <is>
          <t>2026-08-20 (passed)</t>
        </is>
      </c>
      <c r="D35" s="16" t="inlineStr">
        <is>
          <t>T5</t>
        </is>
      </c>
      <c r="E35" s="16" t="inlineStr">
        <is>
          <t>a</t>
        </is>
      </c>
      <c r="F35" s="16" t="inlineStr">
        <is>
          <t>Include</t>
        </is>
      </c>
      <c r="G35" s="16" t="n"/>
      <c r="H35" s="16" t="inlineStr">
        <is>
          <t>A7</t>
        </is>
      </c>
      <c r="I35" s="16" t="n"/>
      <c r="J35" s="16">
        <f>IF(AND(F35="Include",COUNTIF($H$2:H35,H35)=1),1,0)</f>
        <v/>
      </c>
      <c r="K35" s="21" t="inlineStr">
        <is>
          <t>Q10, Q11, Q30</t>
        </is>
      </c>
    </row>
    <row r="36" ht="15" customHeight="1" s="14">
      <c r="A36" s="16" t="inlineStr">
        <is>
          <t>R35</t>
        </is>
      </c>
      <c r="B36" s="16" t="inlineStr">
        <is>
          <t>Guide on publicly available personal data for AI</t>
        </is>
      </c>
      <c r="C36" s="16" t="inlineStr">
        <is>
          <t>2024-07-17</t>
        </is>
      </c>
      <c r="D36" s="16" t="inlineStr">
        <is>
          <t>T6</t>
        </is>
      </c>
      <c r="E36" s="16" t="inlineStr">
        <is>
          <t>a</t>
        </is>
      </c>
      <c r="F36" s="16" t="inlineStr">
        <is>
          <t>Include</t>
        </is>
      </c>
      <c r="G36" s="16" t="n"/>
      <c r="H36" s="16" t="inlineStr">
        <is>
          <t>G1</t>
        </is>
      </c>
      <c r="I36" s="16" t="inlineStr">
        <is>
          <t>Merged into G1</t>
        </is>
      </c>
      <c r="J36" s="16">
        <f>IF(AND(F36="Include",COUNTIF($H$2:H36,H36)=1),1,0)</f>
        <v/>
      </c>
      <c r="K36" s="21" t="inlineStr">
        <is>
          <t>Q03, Q10, Q18</t>
        </is>
      </c>
    </row>
    <row r="37" ht="15" customHeight="1" s="14">
      <c r="A37" s="16" t="inlineStr">
        <is>
          <t>R36</t>
        </is>
      </c>
      <c r="B37" s="16" t="inlineStr">
        <is>
          <t>Guide on generative AI development and use</t>
        </is>
      </c>
      <c r="C37" s="16" t="inlineStr">
        <is>
          <t>2025-08-06</t>
        </is>
      </c>
      <c r="D37" s="16" t="inlineStr">
        <is>
          <t>T6</t>
        </is>
      </c>
      <c r="E37" s="16" t="inlineStr">
        <is>
          <t>a</t>
        </is>
      </c>
      <c r="F37" s="16" t="inlineStr">
        <is>
          <t>Include</t>
        </is>
      </c>
      <c r="G37" s="16" t="n"/>
      <c r="H37" s="16" t="inlineStr">
        <is>
          <t>G1</t>
        </is>
      </c>
      <c r="I37" s="16" t="inlineStr">
        <is>
          <t>Merged into G1</t>
        </is>
      </c>
      <c r="J37" s="16">
        <f>IF(AND(F37="Include",COUNTIF($H$2:H37,H37)=1),1,0)</f>
        <v/>
      </c>
      <c r="K37" s="21" t="inlineStr">
        <is>
          <t>Q18</t>
        </is>
      </c>
    </row>
    <row r="38" ht="15" customHeight="1" s="14">
      <c r="A38" s="16" t="inlineStr">
        <is>
          <t>R37</t>
        </is>
      </c>
      <c r="B38" s="16" t="inlineStr">
        <is>
          <t>Guide on personal video information from mobile video devices</t>
        </is>
      </c>
      <c r="C38" s="16" t="inlineStr">
        <is>
          <t>verify</t>
        </is>
      </c>
      <c r="D38" s="16" t="inlineStr">
        <is>
          <t>T6</t>
        </is>
      </c>
      <c r="E38" s="16" t="inlineStr">
        <is>
          <t>a; b</t>
        </is>
      </c>
      <c r="F38" s="16" t="inlineStr">
        <is>
          <t>Pending</t>
        </is>
      </c>
      <c r="G38" s="16" t="inlineStr">
        <is>
          <t>PEND</t>
        </is>
      </c>
      <c r="H38" s="16" t="inlineStr">
        <is>
          <t>—</t>
        </is>
      </c>
      <c r="I38" s="16" t="inlineStr">
        <is>
          <t>Eligible; not coded</t>
        </is>
      </c>
      <c r="J38" s="16">
        <f>IF(AND(F38="Include",COUNTIF($H$2:H38,H38)=1),1,0)</f>
        <v/>
      </c>
      <c r="K38" s="21" t="inlineStr">
        <is>
          <t>Q11</t>
        </is>
      </c>
    </row>
    <row r="39" ht="15" customHeight="1" s="14">
      <c r="A39" s="16" t="inlineStr">
        <is>
          <t>R38</t>
        </is>
      </c>
      <c r="B39" s="16" t="inlineStr">
        <is>
          <t>Guide on privacy in public-sector AI transformation</t>
        </is>
      </c>
      <c r="C39" s="16" t="inlineStr">
        <is>
          <t>verify</t>
        </is>
      </c>
      <c r="D39" s="16" t="inlineStr">
        <is>
          <t>T6</t>
        </is>
      </c>
      <c r="E39" s="16" t="inlineStr">
        <is>
          <t>a</t>
        </is>
      </c>
      <c r="F39" s="16" t="inlineStr">
        <is>
          <t>Pending</t>
        </is>
      </c>
      <c r="G39" s="16" t="inlineStr">
        <is>
          <t>PEND</t>
        </is>
      </c>
      <c r="H39" s="16" t="inlineStr">
        <is>
          <t>—</t>
        </is>
      </c>
      <c r="I39" s="16" t="inlineStr">
        <is>
          <t>Eligible; not coded</t>
        </is>
      </c>
      <c r="J39" s="16">
        <f>IF(AND(F39="Include",COUNTIF($H$2:H39,H39)=1),1,0)</f>
        <v/>
      </c>
      <c r="K39" s="21" t="inlineStr">
        <is>
          <t>Q01</t>
        </is>
      </c>
    </row>
    <row r="40" ht="23.85" customHeight="1" s="14">
      <c r="A40" s="16" t="inlineStr">
        <is>
          <t>R39</t>
        </is>
      </c>
      <c r="B40" s="16" t="inlineStr">
        <is>
          <t>Sandbox exemption: AI trauma-care CCTV</t>
        </is>
      </c>
      <c r="C40" s="16" t="inlineStr">
        <is>
          <t>2026-05-06</t>
        </is>
      </c>
      <c r="D40" s="16" t="inlineStr">
        <is>
          <t>T5</t>
        </is>
      </c>
      <c r="E40" s="16" t="inlineStr">
        <is>
          <t>a</t>
        </is>
      </c>
      <c r="F40" s="16" t="inlineStr">
        <is>
          <t>Exclude</t>
        </is>
      </c>
      <c r="G40" s="16" t="inlineStr">
        <is>
          <t>EX-PIPCROLE</t>
        </is>
      </c>
      <c r="H40" s="16" t="inlineStr">
        <is>
          <t>—</t>
        </is>
      </c>
      <c r="I40" s="16" t="inlineStr">
        <is>
          <t>PIPC role not documented; not verified</t>
        </is>
      </c>
      <c r="J40" s="16">
        <f>IF(AND(F40="Include",COUNTIF($H$2:H40,H40)=1),1,0)</f>
        <v/>
      </c>
      <c r="K40" s="21" t="inlineStr">
        <is>
          <t>Q11</t>
        </is>
      </c>
    </row>
    <row r="41" ht="23.85" customHeight="1" s="14">
      <c r="A41" s="16" t="inlineStr">
        <is>
          <t>R40</t>
        </is>
      </c>
      <c r="B41" s="16" t="inlineStr">
        <is>
          <t>National Human Rights Commission recommendation on face authentication</t>
        </is>
      </c>
      <c r="C41" s="16" t="inlineStr">
        <is>
          <t>2026-03-13</t>
        </is>
      </c>
      <c r="D41" s="16" t="inlineStr">
        <is>
          <t>Other</t>
        </is>
      </c>
      <c r="E41" s="16" t="inlineStr">
        <is>
          <t>b</t>
        </is>
      </c>
      <c r="F41" s="16" t="inlineStr">
        <is>
          <t>Exclude</t>
        </is>
      </c>
      <c r="G41" s="16" t="inlineStr">
        <is>
          <t>EX-NOTPIPC</t>
        </is>
      </c>
      <c r="H41" s="16" t="inlineStr">
        <is>
          <t>—</t>
        </is>
      </c>
      <c r="I41" s="16" t="inlineStr">
        <is>
          <t>Used as context for D12</t>
        </is>
      </c>
      <c r="J41" s="16">
        <f>IF(AND(F41="Include",COUNTIF($H$2:H41,H41)=1),1,0)</f>
        <v/>
      </c>
      <c r="K41" s="21" t="inlineStr">
        <is>
          <t>Q25</t>
        </is>
      </c>
    </row>
    <row r="42" ht="15" customHeight="1" s="14">
      <c r="A42" s="16" t="inlineStr">
        <is>
          <t>R41</t>
        </is>
      </c>
      <c r="B42" s="16" t="inlineStr">
        <is>
          <t>Prior-adequacy review operating rules</t>
        </is>
      </c>
      <c r="C42" s="16" t="inlineStr">
        <is>
          <t>2024-03-27</t>
        </is>
      </c>
      <c r="D42" s="16" t="inlineStr">
        <is>
          <t>Other</t>
        </is>
      </c>
      <c r="E42" s="16" t="inlineStr">
        <is>
          <t>—</t>
        </is>
      </c>
      <c r="F42" s="16" t="inlineStr">
        <is>
          <t>Exclude</t>
        </is>
      </c>
      <c r="G42" s="16" t="inlineStr">
        <is>
          <t>EX-PROC</t>
        </is>
      </c>
      <c r="H42" s="16" t="inlineStr">
        <is>
          <t>—</t>
        </is>
      </c>
      <c r="I42" s="16" t="inlineStr">
        <is>
          <t>Used as source on confidentiality</t>
        </is>
      </c>
      <c r="J42" s="16">
        <f>IF(AND(F42="Include",COUNTIF($H$2:H42,H42)=1),1,0)</f>
        <v/>
      </c>
      <c r="K42" s="21" t="inlineStr">
        <is>
          <t>Q24</t>
        </is>
      </c>
    </row>
    <row r="43" ht="15" customHeight="1" s="14">
      <c r="A43" s="16" t="inlineStr">
        <is>
          <t>R42</t>
        </is>
      </c>
      <c r="B43" s="16" t="inlineStr">
        <is>
          <t>Prior-adequacy review: false job-advertisement reporting centre</t>
        </is>
      </c>
      <c r="C43" s="16" t="inlineStr">
        <is>
          <t>2023 (pilot)</t>
        </is>
      </c>
      <c r="D43" s="16" t="inlineStr">
        <is>
          <t>T3</t>
        </is>
      </c>
      <c r="E43" s="16" t="inlineStr">
        <is>
          <t>none</t>
        </is>
      </c>
      <c r="F43" s="16" t="inlineStr">
        <is>
          <t>Exclude</t>
        </is>
      </c>
      <c r="G43" s="16" t="inlineStr">
        <is>
          <t>EX-NOAI</t>
        </is>
      </c>
      <c r="H43" s="16" t="inlineStr">
        <is>
          <t>—</t>
        </is>
      </c>
      <c r="I43" s="16" t="inlineStr">
        <is>
          <t>Labor relevance noted</t>
        </is>
      </c>
      <c r="J43" s="16">
        <f>IF(AND(F43="Include",COUNTIF($H$2:H43,H43)=1),1,0)</f>
        <v/>
      </c>
      <c r="K43" s="21" t="inlineStr">
        <is>
          <t>Q24</t>
        </is>
      </c>
    </row>
    <row r="44" ht="15" customHeight="1" s="14">
      <c r="A44" s="16" t="inlineStr">
        <is>
          <t>R43</t>
        </is>
      </c>
      <c r="B44" s="16" t="inlineStr">
        <is>
          <t>Pre-inspections of platforms and cloud services, 2023-2025 (three)</t>
        </is>
      </c>
      <c r="C44" s="16" t="inlineStr">
        <is>
          <t>2023-2025</t>
        </is>
      </c>
      <c r="D44" s="16" t="inlineStr">
        <is>
          <t>T2</t>
        </is>
      </c>
      <c r="E44" s="16" t="inlineStr">
        <is>
          <t>none</t>
        </is>
      </c>
      <c r="F44" s="16" t="inlineStr">
        <is>
          <t>Exclude</t>
        </is>
      </c>
      <c r="G44" s="16" t="inlineStr">
        <is>
          <t>EX-NOAI</t>
        </is>
      </c>
      <c r="H44" s="16" t="inlineStr">
        <is>
          <t>—</t>
        </is>
      </c>
      <c r="I44" s="16" t="n"/>
      <c r="J44" s="16">
        <f>IF(AND(F44="Include",COUNTIF($H$2:H44,H44)=1),1,0)</f>
        <v/>
      </c>
      <c r="K44" s="21" t="inlineStr">
        <is>
          <t>Q29</t>
        </is>
      </c>
    </row>
    <row r="45" ht="23.85" customHeight="1" s="14">
      <c r="A45" s="16" t="inlineStr">
        <is>
          <t>R44</t>
        </is>
      </c>
      <c r="B45" s="16" t="inlineStr">
        <is>
          <t>Planned inspections (AI-training defaults, agent frameworks, camera IoT)</t>
        </is>
      </c>
      <c r="C45" s="16" t="inlineStr">
        <is>
          <t>2026</t>
        </is>
      </c>
      <c r="D45" s="16" t="inlineStr">
        <is>
          <t>Other</t>
        </is>
      </c>
      <c r="E45" s="16" t="inlineStr">
        <is>
          <t>a</t>
        </is>
      </c>
      <c r="F45" s="16" t="inlineStr">
        <is>
          <t>Exclude</t>
        </is>
      </c>
      <c r="G45" s="16" t="inlineStr">
        <is>
          <t>EX-PLANNED</t>
        </is>
      </c>
      <c r="H45" s="16" t="inlineStr">
        <is>
          <t>—</t>
        </is>
      </c>
      <c r="I45" s="16" t="n"/>
      <c r="J45" s="16">
        <f>IF(AND(F45="Include",COUNTIF($H$2:H45,H45)=1),1,0)</f>
        <v/>
      </c>
      <c r="K45" s="21" t="inlineStr">
        <is>
          <t>Q29</t>
        </is>
      </c>
    </row>
    <row r="46" ht="15" customHeight="1" s="14">
      <c r="A46" s="16" t="inlineStr">
        <is>
          <t>R45</t>
        </is>
      </c>
      <c r="B46" s="16" t="inlineStr">
        <is>
          <t>Chair interview on deletion from training data and unlearning</t>
        </is>
      </c>
      <c r="C46" s="16" t="inlineStr">
        <is>
          <t>2026-08-19</t>
        </is>
      </c>
      <c r="D46" s="16" t="inlineStr">
        <is>
          <t>Other</t>
        </is>
      </c>
      <c r="E46" s="16" t="inlineStr">
        <is>
          <t>a</t>
        </is>
      </c>
      <c r="F46" s="16" t="inlineStr">
        <is>
          <t>Exclude</t>
        </is>
      </c>
      <c r="G46" s="16" t="inlineStr">
        <is>
          <t>EX-STMT</t>
        </is>
      </c>
      <c r="H46" s="16" t="inlineStr">
        <is>
          <t>—</t>
        </is>
      </c>
      <c r="I46" s="16" t="inlineStr">
        <is>
          <t>Used as contextual evidence</t>
        </is>
      </c>
      <c r="J46" s="16">
        <f>IF(AND(F46="Include",COUNTIF($H$2:H46,H46)=1),1,0)</f>
        <v/>
      </c>
      <c r="K46" s="21" t="inlineStr">
        <is>
          <t>Q10, Q30</t>
        </is>
      </c>
    </row>
    <row r="47" ht="15" customHeight="1" s="14">
      <c r="A47" s="16" t="inlineStr">
        <is>
          <t>R46</t>
        </is>
      </c>
      <c r="B47" s="16" t="inlineStr">
        <is>
          <t>Chair remarks on mobile-phone face authentication</t>
        </is>
      </c>
      <c r="C47" s="16" t="inlineStr">
        <is>
          <t>2026-01-21</t>
        </is>
      </c>
      <c r="D47" s="16" t="inlineStr">
        <is>
          <t>Other</t>
        </is>
      </c>
      <c r="E47" s="16" t="inlineStr">
        <is>
          <t>b</t>
        </is>
      </c>
      <c r="F47" s="16" t="inlineStr">
        <is>
          <t>Exclude</t>
        </is>
      </c>
      <c r="G47" s="16" t="inlineStr">
        <is>
          <t>EX-STMT</t>
        </is>
      </c>
      <c r="H47" s="16" t="inlineStr">
        <is>
          <t>—</t>
        </is>
      </c>
      <c r="I47" s="16" t="inlineStr">
        <is>
          <t>Superseded by D12</t>
        </is>
      </c>
      <c r="J47" s="16">
        <f>IF(AND(F47="Include",COUNTIF($H$2:H47,H47)=1),1,0)</f>
        <v/>
      </c>
      <c r="K47" s="21" t="inlineStr">
        <is>
          <t>Q09</t>
        </is>
      </c>
    </row>
    <row r="48" ht="15" customHeight="1" s="14">
      <c r="A48" s="16" t="inlineStr">
        <is>
          <t>R47</t>
        </is>
      </c>
      <c r="B48" s="16" t="inlineStr">
        <is>
          <t>Four public institutions and a contractor</t>
        </is>
      </c>
      <c r="C48" s="16" t="inlineStr">
        <is>
          <t>2026</t>
        </is>
      </c>
      <c r="D48" s="16" t="inlineStr">
        <is>
          <t>T1</t>
        </is>
      </c>
      <c r="E48" s="16" t="inlineStr">
        <is>
          <t>none</t>
        </is>
      </c>
      <c r="F48" s="16" t="inlineStr">
        <is>
          <t>Exclude</t>
        </is>
      </c>
      <c r="G48" s="16" t="inlineStr">
        <is>
          <t>EX-NOAI</t>
        </is>
      </c>
      <c r="H48" s="16" t="inlineStr">
        <is>
          <t>—</t>
        </is>
      </c>
      <c r="I48" s="16" t="inlineStr">
        <is>
          <t>No AI dimension reported</t>
        </is>
      </c>
      <c r="J48" s="16">
        <f>IF(AND(F48="Include",COUNTIF($H$2:H48,H48)=1),1,0)</f>
        <v/>
      </c>
      <c r="K48" s="21" t="inlineStr">
        <is>
          <t>Q01, Q09</t>
        </is>
      </c>
    </row>
    <row r="49" ht="15" customHeight="1" s="14">
      <c r="A49" s="16" t="inlineStr">
        <is>
          <t>R48</t>
        </is>
      </c>
      <c r="B49" s="16" t="inlineStr">
        <is>
          <t>Lock&amp;Lock, Ubase, Sunphoto</t>
        </is>
      </c>
      <c r="C49" s="16" t="inlineStr">
        <is>
          <t>2026</t>
        </is>
      </c>
      <c r="D49" s="16" t="inlineStr">
        <is>
          <t>T1</t>
        </is>
      </c>
      <c r="E49" s="16" t="inlineStr">
        <is>
          <t>none</t>
        </is>
      </c>
      <c r="F49" s="16" t="inlineStr">
        <is>
          <t>Exclude</t>
        </is>
      </c>
      <c r="G49" s="16" t="inlineStr">
        <is>
          <t>EX-NOAI</t>
        </is>
      </c>
      <c r="H49" s="16" t="inlineStr">
        <is>
          <t>—</t>
        </is>
      </c>
      <c r="I49" s="16" t="inlineStr">
        <is>
          <t>No AI dimension reported</t>
        </is>
      </c>
      <c r="J49" s="16">
        <f>IF(AND(F49="Include",COUNTIF($H$2:H49,H49)=1),1,0)</f>
        <v/>
      </c>
      <c r="K49" s="21" t="inlineStr">
        <is>
          <t>Q01</t>
        </is>
      </c>
    </row>
    <row r="50" ht="15" customHeight="1" s="14">
      <c r="A50" s="16" t="inlineStr">
        <is>
          <t>R49</t>
        </is>
      </c>
      <c r="B50" s="16" t="inlineStr">
        <is>
          <t>Golfzon breach</t>
        </is>
      </c>
      <c r="C50" s="16" t="inlineStr">
        <is>
          <t>2024</t>
        </is>
      </c>
      <c r="D50" s="16" t="inlineStr">
        <is>
          <t>T1</t>
        </is>
      </c>
      <c r="E50" s="16" t="inlineStr">
        <is>
          <t>none</t>
        </is>
      </c>
      <c r="F50" s="16" t="inlineStr">
        <is>
          <t>Exclude</t>
        </is>
      </c>
      <c r="G50" s="16" t="inlineStr">
        <is>
          <t>EX-BREACH</t>
        </is>
      </c>
      <c r="H50" s="16" t="inlineStr">
        <is>
          <t>—</t>
        </is>
      </c>
      <c r="I50" s="16" t="n"/>
      <c r="J50" s="16">
        <f>IF(AND(F50="Include",COUNTIF($H$2:H50,H50)=1),1,0)</f>
        <v/>
      </c>
      <c r="K50" s="21" t="inlineStr">
        <is>
          <t>Q09</t>
        </is>
      </c>
    </row>
    <row r="51" ht="23.85" customHeight="1" s="14">
      <c r="A51" s="16" t="inlineStr">
        <is>
          <t>R50</t>
        </is>
      </c>
      <c r="B51" s="16" t="inlineStr">
        <is>
          <t>Wemakeprice; KT; ESTsoft (decisions cancelled or reduced in court)</t>
        </is>
      </c>
      <c r="C51" s="16" t="inlineStr">
        <is>
          <t>2018-2023</t>
        </is>
      </c>
      <c r="D51" s="16" t="inlineStr">
        <is>
          <t>T1</t>
        </is>
      </c>
      <c r="E51" s="16" t="inlineStr">
        <is>
          <t>none</t>
        </is>
      </c>
      <c r="F51" s="16" t="inlineStr">
        <is>
          <t>Exclude</t>
        </is>
      </c>
      <c r="G51" s="16" t="inlineStr">
        <is>
          <t>EX-NOAI</t>
        </is>
      </c>
      <c r="H51" s="16" t="inlineStr">
        <is>
          <t>—</t>
        </is>
      </c>
      <c r="I51" s="16" t="n"/>
      <c r="J51" s="16">
        <f>IF(AND(F51="Include",COUNTIF($H$2:H51,H51)=1),1,0)</f>
        <v/>
      </c>
      <c r="K51" s="21" t="inlineStr">
        <is>
          <t>Q09</t>
        </is>
      </c>
    </row>
    <row r="52" ht="15" customHeight="1" s="14">
      <c r="A52" s="16" t="inlineStr">
        <is>
          <t>R51</t>
        </is>
      </c>
      <c r="B52" s="16" t="inlineStr">
        <is>
          <t>National Court Administration breach</t>
        </is>
      </c>
      <c r="C52" s="16" t="inlineStr">
        <is>
          <t>2025-01</t>
        </is>
      </c>
      <c r="D52" s="16" t="inlineStr">
        <is>
          <t>T1</t>
        </is>
      </c>
      <c r="E52" s="16" t="inlineStr">
        <is>
          <t>none</t>
        </is>
      </c>
      <c r="F52" s="16" t="inlineStr">
        <is>
          <t>Exclude</t>
        </is>
      </c>
      <c r="G52" s="16" t="inlineStr">
        <is>
          <t>EX-BREACH</t>
        </is>
      </c>
      <c r="H52" s="16" t="inlineStr">
        <is>
          <t>—</t>
        </is>
      </c>
      <c r="I52" s="16" t="n"/>
      <c r="J52" s="16">
        <f>IF(AND(F52="Include",COUNTIF($H$2:H52,H52)=1),1,0)</f>
        <v/>
      </c>
      <c r="K52" s="21" t="inlineStr">
        <is>
          <t>Q01</t>
        </is>
      </c>
    </row>
    <row r="53" ht="15" customHeight="1" s="14">
      <c r="A53" s="16" t="inlineStr">
        <is>
          <t>R52</t>
        </is>
      </c>
      <c r="B53" s="16" t="inlineStr">
        <is>
          <t>Daebang Construction and three others</t>
        </is>
      </c>
      <c r="C53" s="16" t="inlineStr">
        <is>
          <t>2023</t>
        </is>
      </c>
      <c r="D53" s="16" t="inlineStr">
        <is>
          <t>T1</t>
        </is>
      </c>
      <c r="E53" s="16" t="inlineStr">
        <is>
          <t>none</t>
        </is>
      </c>
      <c r="F53" s="16" t="inlineStr">
        <is>
          <t>Exclude</t>
        </is>
      </c>
      <c r="G53" s="16" t="inlineStr">
        <is>
          <t>EX-NOAI</t>
        </is>
      </c>
      <c r="H53" s="16" t="inlineStr">
        <is>
          <t>—</t>
        </is>
      </c>
      <c r="I53" s="16" t="n"/>
      <c r="J53" s="16">
        <f>IF(AND(F53="Include",COUNTIF($H$2:H53,H53)=1),1,0)</f>
        <v/>
      </c>
      <c r="K53" s="21" t="inlineStr">
        <is>
          <t>Q13</t>
        </is>
      </c>
    </row>
    <row r="54" ht="23.85" customHeight="1" s="14">
      <c r="A54" s="16" t="inlineStr">
        <is>
          <t>R53</t>
        </is>
      </c>
      <c r="B54" s="16" t="inlineStr">
        <is>
          <t>Notice on measures concerning automated decisions (PIPA Art. 37-2)</t>
        </is>
      </c>
      <c r="C54" s="16" t="inlineStr">
        <is>
          <t>2024 (verify)</t>
        </is>
      </c>
      <c r="D54" s="16" t="inlineStr">
        <is>
          <t>T6</t>
        </is>
      </c>
      <c r="E54" s="16" t="inlineStr">
        <is>
          <t>a; c</t>
        </is>
      </c>
      <c r="F54" s="16" t="inlineStr">
        <is>
          <t>Pending</t>
        </is>
      </c>
      <c r="G54" s="16" t="inlineStr">
        <is>
          <t>PEND</t>
        </is>
      </c>
      <c r="H54" s="16" t="inlineStr">
        <is>
          <t>—</t>
        </is>
      </c>
      <c r="I54" s="16" t="inlineStr">
        <is>
          <t>Eligible; not coded</t>
        </is>
      </c>
      <c r="J54" s="16">
        <f>IF(AND(F54="Include",COUNTIF($H$2:H54,H54)=1),1,0)</f>
        <v/>
      </c>
      <c r="K54" s="21" t="inlineStr">
        <is>
          <t>Q16</t>
        </is>
      </c>
    </row>
    <row r="55" ht="15" customHeight="1" s="14">
      <c r="A55" s="16" t="inlineStr">
        <is>
          <t>R54</t>
        </is>
      </c>
      <c r="B55" s="16" t="inlineStr">
        <is>
          <t>Non-profit bodies and an MVNO (TheP&amp;L)</t>
        </is>
      </c>
      <c r="C55" s="16" t="inlineStr">
        <is>
          <t>2025-05-14</t>
        </is>
      </c>
      <c r="D55" s="16" t="inlineStr">
        <is>
          <t>T1</t>
        </is>
      </c>
      <c r="E55" s="16" t="inlineStr">
        <is>
          <t>none</t>
        </is>
      </c>
      <c r="F55" s="16" t="inlineStr">
        <is>
          <t>Exclude</t>
        </is>
      </c>
      <c r="G55" s="16" t="inlineStr">
        <is>
          <t>EX-NOAI</t>
        </is>
      </c>
      <c r="H55" s="16" t="inlineStr">
        <is>
          <t>—</t>
        </is>
      </c>
      <c r="I55" s="16" t="n"/>
      <c r="J55" s="16">
        <f>IF(AND(F55="Include",COUNTIF($H$2:H55,H55)=1),1,0)</f>
        <v/>
      </c>
      <c r="K55" s="21" t="inlineStr">
        <is>
          <t>Q22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5" customWidth="1" style="13" min="1" max="1"/>
    <col width="12" customWidth="1" style="13" min="2" max="2"/>
  </cols>
  <sheetData>
    <row r="1" ht="15" customHeight="1" s="14">
      <c r="A1" s="20" t="inlineStr">
        <is>
          <t>Stage 1 screening flow</t>
        </is>
      </c>
      <c r="B1" s="20" t="inlineStr">
        <is>
          <t>Count</t>
        </is>
      </c>
    </row>
    <row r="2" ht="15" customHeight="1" s="14">
      <c r="A2" s="21" t="inlineStr">
        <is>
          <t>Queries run (web search)</t>
        </is>
      </c>
      <c r="B2" s="21">
        <f>COUNTA(Query_Log!$A$2:$A$31)</f>
        <v/>
      </c>
    </row>
    <row r="3" ht="15" customHeight="1" s="14">
      <c r="A3" s="21" t="inlineStr">
        <is>
          <t>Direct database access attempts (unsuccessful)</t>
        </is>
      </c>
      <c r="B3" s="21">
        <f>COUNTIF(Query_Log!$B$2:$B$34,"DB")</f>
        <v/>
      </c>
    </row>
    <row r="4" ht="15" customHeight="1" s="14">
      <c r="A4" s="21" t="inlineStr">
        <is>
          <t>Candidate records screened</t>
        </is>
      </c>
      <c r="B4" s="21">
        <f>COUNTA(Screening_Log!$A$2:$A$55)</f>
        <v/>
      </c>
    </row>
    <row r="5" ht="15" customHeight="1" s="14">
      <c r="A5" s="21" t="inlineStr">
        <is>
          <t>Core records (excluded from extended corpus)</t>
        </is>
      </c>
      <c r="B5" s="21">
        <f>COUNTIF(Screening_Log!$F$2:$F$55,"Core")</f>
        <v/>
      </c>
    </row>
    <row r="6" ht="15" customHeight="1" s="14">
      <c r="A6" s="21" t="inlineStr">
        <is>
          <t>Excluded with reason code</t>
        </is>
      </c>
      <c r="B6" s="21">
        <f>COUNTIF(Screening_Log!$F$2:$F$55,"Exclude")</f>
        <v/>
      </c>
    </row>
    <row r="7" ht="15" customHeight="1" s="14">
      <c r="A7" s="21" t="inlineStr">
        <is>
          <t>Eligible, not coded</t>
        </is>
      </c>
      <c r="B7" s="21">
        <f>COUNTIF(Screening_Log!$F$2:$F$55,"Pending")</f>
        <v/>
      </c>
    </row>
    <row r="8" ht="15" customHeight="1" s="14">
      <c r="A8" s="21" t="inlineStr">
        <is>
          <t>Included records</t>
        </is>
      </c>
      <c r="B8" s="21">
        <f>COUNTIF(Screening_Log!$F$2:$F$55,"Include")</f>
        <v/>
      </c>
    </row>
    <row r="9" ht="15" customHeight="1" s="14">
      <c r="A9" s="21" t="inlineStr">
        <is>
          <t>Included corpus entries after merging</t>
        </is>
      </c>
      <c r="B9" s="21">
        <f>SUM(Screening_Log!$J$2:$J$55)</f>
        <v/>
      </c>
    </row>
    <row r="10" ht="15" customHeight="1" s="14">
      <c r="A10" s="21" t="inlineStr">
        <is>
          <t xml:space="preserve">  of which decisions (D)</t>
        </is>
      </c>
      <c r="B10" s="21">
        <f>SUMPRODUCT((Screening_Log!$J$2:$J$55=1)*(LEFT(Screening_Log!$H$2:$H$55,1)="D"))</f>
        <v/>
      </c>
    </row>
    <row r="11" ht="15" customHeight="1" s="14">
      <c r="A11" s="21" t="inlineStr">
        <is>
          <t xml:space="preserve">  of which authorization instruments (A)</t>
        </is>
      </c>
      <c r="B11" s="21">
        <f>SUMPRODUCT((Screening_Log!$J$2:$J$55=1)*(LEFT(Screening_Log!$H$2:$H$55,1)="A"))</f>
        <v/>
      </c>
    </row>
    <row r="12" ht="15" customHeight="1" s="14">
      <c r="A12" s="21" t="inlineStr">
        <is>
          <t xml:space="preserve">  of which guidance entries (G)</t>
        </is>
      </c>
      <c r="B12" s="21">
        <f>SUMPRODUCT((Screening_Log!$J$2:$J$55=1)*(LEFT(Screening_Log!$H$2:$H$55,1)="G"))</f>
        <v/>
      </c>
    </row>
    <row r="13" ht="15" customHeight="1" s="14">
      <c r="A13" s="21" t="inlineStr">
        <is>
          <t>Check: screened = core + excluded + pending + included</t>
        </is>
      </c>
      <c r="B13" s="21">
        <f>IF(B4=B5+B6+B7+B8,"OK","MISMATCH")</f>
        <v/>
      </c>
    </row>
    <row r="15" ht="15" customHeight="1" s="14">
      <c r="A15" s="22" t="inlineStr">
        <is>
          <t>Exclusions by reason code</t>
        </is>
      </c>
    </row>
    <row r="16" ht="15" customHeight="1" s="14">
      <c r="A16" s="21" t="inlineStr">
        <is>
          <t>EX-NOAI</t>
        </is>
      </c>
      <c r="B16" s="21">
        <f>COUNTIF(Screening_Log!$G$2:$G$55,"EX-NOAI")</f>
        <v/>
      </c>
    </row>
    <row r="17" ht="15" customHeight="1" s="14">
      <c r="A17" s="21" t="inlineStr">
        <is>
          <t>EX-BREACH</t>
        </is>
      </c>
      <c r="B17" s="21">
        <f>COUNTIF(Screening_Log!$G$2:$G$55,"EX-BREACH")</f>
        <v/>
      </c>
    </row>
    <row r="18" ht="15" customHeight="1" s="14">
      <c r="A18" s="21" t="inlineStr">
        <is>
          <t>EX-NOTPIPC</t>
        </is>
      </c>
      <c r="B18" s="21">
        <f>COUNTIF(Screening_Log!$G$2:$G$55,"EX-NOTPIPC")</f>
        <v/>
      </c>
    </row>
    <row r="19" ht="15" customHeight="1" s="14">
      <c r="A19" s="21" t="inlineStr">
        <is>
          <t>EX-PIPCROLE</t>
        </is>
      </c>
      <c r="B19" s="21">
        <f>COUNTIF(Screening_Log!$G$2:$G$55,"EX-PIPCROLE")</f>
        <v/>
      </c>
    </row>
    <row r="20" ht="15" customHeight="1" s="14">
      <c r="A20" s="21" t="inlineStr">
        <is>
          <t>EX-PROC</t>
        </is>
      </c>
      <c r="B20" s="21">
        <f>COUNTIF(Screening_Log!$G$2:$G$55,"EX-PROC")</f>
        <v/>
      </c>
    </row>
    <row r="21" ht="15" customHeight="1" s="14">
      <c r="A21" s="21" t="inlineStr">
        <is>
          <t>EX-STMT</t>
        </is>
      </c>
      <c r="B21" s="21">
        <f>COUNTIF(Screening_Log!$G$2:$G$55,"EX-STMT")</f>
        <v/>
      </c>
    </row>
    <row r="22" ht="15" customHeight="1" s="14">
      <c r="A22" s="21" t="inlineStr">
        <is>
          <t>EX-PLANNED</t>
        </is>
      </c>
      <c r="B22" s="21">
        <f>COUNTIF(Screening_Log!$G$2:$G$55,"EX-PLANNED")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1" max="1"/>
    <col width="12" customWidth="1" style="13" min="2" max="4"/>
    <col width="10" customWidth="1" style="13" min="5" max="5"/>
    <col width="9" customWidth="1" style="13" min="6" max="6"/>
    <col width="30" customWidth="1" style="13" min="7" max="7"/>
    <col width="22" customWidth="1" style="13" min="8" max="8"/>
    <col width="14" customWidth="1" style="13" min="9" max="9"/>
    <col width="12" customWidth="1" style="13" min="10" max="10"/>
    <col width="20" customWidth="1" style="13" min="11" max="11"/>
  </cols>
  <sheetData>
    <row r="1" ht="17.15" customHeight="1" s="14">
      <c r="A1" s="23" t="inlineStr">
        <is>
          <t>Legend: fill the yellow cells, one row per keyword search in the PIPC decision database (위원회 결정문). Row 3 is an example; delete it before use.</t>
        </is>
      </c>
    </row>
    <row r="2" ht="29.85" customHeight="1" s="14">
      <c r="A2" s="24" t="inlineStr">
        <is>
          <t>Keyword</t>
        </is>
      </c>
      <c r="B2" s="24" t="inlineStr">
        <is>
          <t>Search field</t>
        </is>
      </c>
      <c r="C2" s="24" t="inlineStr">
        <is>
          <t>Date from</t>
        </is>
      </c>
      <c r="D2" s="24" t="inlineStr">
        <is>
          <t>Date to</t>
        </is>
      </c>
      <c r="E2" s="24" t="inlineStr">
        <is>
          <t>Meeting type</t>
        </is>
      </c>
      <c r="F2" s="24" t="inlineStr">
        <is>
          <t>Hits (n)</t>
        </is>
      </c>
      <c r="G2" s="24" t="inlineStr">
        <is>
          <t>Decisions opened (idxId or 의안번호)</t>
        </is>
      </c>
      <c r="H2" s="24" t="inlineStr">
        <is>
          <t>New eligible entries (RecID)</t>
        </is>
      </c>
      <c r="I2" s="24" t="inlineStr">
        <is>
          <t>Screened by</t>
        </is>
      </c>
      <c r="J2" s="24" t="inlineStr">
        <is>
          <t>Date searched</t>
        </is>
      </c>
      <c r="K2" s="24" t="inlineStr">
        <is>
          <t>Note</t>
        </is>
      </c>
    </row>
    <row r="3" ht="15" customHeight="1" s="14">
      <c r="A3" s="25" t="inlineStr">
        <is>
          <t>인공지능</t>
        </is>
      </c>
      <c r="B3" s="25" t="inlineStr">
        <is>
          <t>제목+내용</t>
        </is>
      </c>
      <c r="C3" s="21" t="inlineStr">
        <is>
          <t>2020-08-05</t>
        </is>
      </c>
      <c r="D3" s="21" t="inlineStr">
        <is>
          <t>2026-09-30</t>
        </is>
      </c>
      <c r="E3" s="25" t="inlineStr">
        <is>
          <t>전체</t>
        </is>
      </c>
      <c r="F3" s="21" t="n">
        <v>12</v>
      </c>
      <c r="G3" s="21" t="inlineStr">
        <is>
          <t>2025-0123; 2025-0456</t>
        </is>
      </c>
      <c r="H3" s="21" t="inlineStr">
        <is>
          <t>R55</t>
        </is>
      </c>
      <c r="I3" s="21" t="inlineStr">
        <is>
          <t>Author initials</t>
        </is>
      </c>
      <c r="J3" s="21" t="inlineStr">
        <is>
          <t>2026-10-10</t>
        </is>
      </c>
      <c r="K3" s="21" t="inlineStr">
        <is>
          <t>Example only</t>
        </is>
      </c>
    </row>
    <row r="4" ht="15" customHeight="1" s="14">
      <c r="A4" s="25" t="inlineStr">
        <is>
          <t>인공지능</t>
        </is>
      </c>
      <c r="B4" s="25" t="inlineStr">
        <is>
          <t>제목+내용</t>
        </is>
      </c>
      <c r="C4" s="21" t="inlineStr">
        <is>
          <t>2020-08-05</t>
        </is>
      </c>
      <c r="D4" s="21" t="inlineStr">
        <is>
          <t>2026-09-30</t>
        </is>
      </c>
      <c r="E4" s="25" t="inlineStr">
        <is>
          <t>전체</t>
        </is>
      </c>
      <c r="F4" s="26" t="n"/>
      <c r="G4" s="26" t="n"/>
      <c r="H4" s="26" t="n"/>
      <c r="I4" s="26" t="n"/>
      <c r="J4" s="26" t="n"/>
      <c r="K4" s="26" t="n"/>
    </row>
    <row r="5" ht="15" customHeight="1" s="14">
      <c r="A5" s="21" t="inlineStr">
        <is>
          <t>AI</t>
        </is>
      </c>
      <c r="B5" s="25" t="inlineStr">
        <is>
          <t>제목+내용</t>
        </is>
      </c>
      <c r="C5" s="21" t="inlineStr">
        <is>
          <t>2020-08-05</t>
        </is>
      </c>
      <c r="D5" s="21" t="inlineStr">
        <is>
          <t>2026-09-30</t>
        </is>
      </c>
      <c r="E5" s="25" t="inlineStr">
        <is>
          <t>전체</t>
        </is>
      </c>
      <c r="F5" s="26" t="n"/>
      <c r="G5" s="26" t="n"/>
      <c r="H5" s="26" t="n"/>
      <c r="I5" s="26" t="n"/>
      <c r="J5" s="26" t="n"/>
      <c r="K5" s="26" t="n"/>
    </row>
    <row r="6" ht="15" customHeight="1" s="14">
      <c r="A6" s="25" t="inlineStr">
        <is>
          <t>학습</t>
        </is>
      </c>
      <c r="B6" s="25" t="inlineStr">
        <is>
          <t>제목+내용</t>
        </is>
      </c>
      <c r="C6" s="21" t="inlineStr">
        <is>
          <t>2020-08-05</t>
        </is>
      </c>
      <c r="D6" s="21" t="inlineStr">
        <is>
          <t>2026-09-30</t>
        </is>
      </c>
      <c r="E6" s="25" t="inlineStr">
        <is>
          <t>전체</t>
        </is>
      </c>
      <c r="F6" s="26" t="n"/>
      <c r="G6" s="26" t="n"/>
      <c r="H6" s="26" t="n"/>
      <c r="I6" s="26" t="n"/>
      <c r="J6" s="26" t="n"/>
      <c r="K6" s="26" t="n"/>
    </row>
    <row r="7" ht="15" customHeight="1" s="14">
      <c r="A7" s="25" t="inlineStr">
        <is>
          <t>생체</t>
        </is>
      </c>
      <c r="B7" s="25" t="inlineStr">
        <is>
          <t>제목+내용</t>
        </is>
      </c>
      <c r="C7" s="21" t="inlineStr">
        <is>
          <t>2020-08-05</t>
        </is>
      </c>
      <c r="D7" s="21" t="inlineStr">
        <is>
          <t>2026-09-30</t>
        </is>
      </c>
      <c r="E7" s="25" t="inlineStr">
        <is>
          <t>전체</t>
        </is>
      </c>
      <c r="F7" s="26" t="n"/>
      <c r="G7" s="26" t="n"/>
      <c r="H7" s="26" t="n"/>
      <c r="I7" s="26" t="n"/>
      <c r="J7" s="26" t="n"/>
      <c r="K7" s="26" t="n"/>
    </row>
    <row r="8" ht="15" customHeight="1" s="14">
      <c r="A8" s="25" t="inlineStr">
        <is>
          <t>얼굴</t>
        </is>
      </c>
      <c r="B8" s="25" t="inlineStr">
        <is>
          <t>제목+내용</t>
        </is>
      </c>
      <c r="C8" s="21" t="inlineStr">
        <is>
          <t>2020-08-05</t>
        </is>
      </c>
      <c r="D8" s="21" t="inlineStr">
        <is>
          <t>2026-09-30</t>
        </is>
      </c>
      <c r="E8" s="25" t="inlineStr">
        <is>
          <t>전체</t>
        </is>
      </c>
      <c r="F8" s="26" t="n"/>
      <c r="G8" s="26" t="n"/>
      <c r="H8" s="26" t="n"/>
      <c r="I8" s="26" t="n"/>
      <c r="J8" s="26" t="n"/>
      <c r="K8" s="26" t="n"/>
    </row>
    <row r="9" ht="15" customHeight="1" s="14">
      <c r="A9" s="25" t="inlineStr">
        <is>
          <t>안면</t>
        </is>
      </c>
      <c r="B9" s="25" t="inlineStr">
        <is>
          <t>제목+내용</t>
        </is>
      </c>
      <c r="C9" s="21" t="inlineStr">
        <is>
          <t>2020-08-05</t>
        </is>
      </c>
      <c r="D9" s="21" t="inlineStr">
        <is>
          <t>2026-09-30</t>
        </is>
      </c>
      <c r="E9" s="25" t="inlineStr">
        <is>
          <t>전체</t>
        </is>
      </c>
      <c r="F9" s="26" t="n"/>
      <c r="G9" s="26" t="n"/>
      <c r="H9" s="26" t="n"/>
      <c r="I9" s="26" t="n"/>
      <c r="J9" s="26" t="n"/>
      <c r="K9" s="26" t="n"/>
    </row>
    <row r="10" ht="15" customHeight="1" s="14">
      <c r="A10" s="25" t="inlineStr">
        <is>
          <t>홍채</t>
        </is>
      </c>
      <c r="B10" s="25" t="inlineStr">
        <is>
          <t>제목+내용</t>
        </is>
      </c>
      <c r="C10" s="21" t="inlineStr">
        <is>
          <t>2020-08-05</t>
        </is>
      </c>
      <c r="D10" s="21" t="inlineStr">
        <is>
          <t>2026-09-30</t>
        </is>
      </c>
      <c r="E10" s="25" t="inlineStr">
        <is>
          <t>전체</t>
        </is>
      </c>
      <c r="F10" s="26" t="n"/>
      <c r="G10" s="26" t="n"/>
      <c r="H10" s="26" t="n"/>
      <c r="I10" s="26" t="n"/>
      <c r="J10" s="26" t="n"/>
      <c r="K10" s="26" t="n"/>
    </row>
    <row r="11" ht="15" customHeight="1" s="14">
      <c r="A11" s="25" t="inlineStr">
        <is>
          <t>지문</t>
        </is>
      </c>
      <c r="B11" s="25" t="inlineStr">
        <is>
          <t>제목+내용</t>
        </is>
      </c>
      <c r="C11" s="21" t="inlineStr">
        <is>
          <t>2020-08-05</t>
        </is>
      </c>
      <c r="D11" s="21" t="inlineStr">
        <is>
          <t>2026-09-30</t>
        </is>
      </c>
      <c r="E11" s="25" t="inlineStr">
        <is>
          <t>전체</t>
        </is>
      </c>
      <c r="F11" s="26" t="n"/>
      <c r="G11" s="26" t="n"/>
      <c r="H11" s="26" t="n"/>
      <c r="I11" s="26" t="n"/>
      <c r="J11" s="26" t="n"/>
      <c r="K11" s="26" t="n"/>
    </row>
    <row r="12" ht="15" customHeight="1" s="14">
      <c r="A12" s="25" t="inlineStr">
        <is>
          <t>음성</t>
        </is>
      </c>
      <c r="B12" s="25" t="inlineStr">
        <is>
          <t>제목+내용</t>
        </is>
      </c>
      <c r="C12" s="21" t="inlineStr">
        <is>
          <t>2020-08-05</t>
        </is>
      </c>
      <c r="D12" s="21" t="inlineStr">
        <is>
          <t>2026-09-30</t>
        </is>
      </c>
      <c r="E12" s="25" t="inlineStr">
        <is>
          <t>전체</t>
        </is>
      </c>
      <c r="F12" s="26" t="n"/>
      <c r="G12" s="26" t="n"/>
      <c r="H12" s="26" t="n"/>
      <c r="I12" s="26" t="n"/>
      <c r="J12" s="26" t="n"/>
      <c r="K12" s="26" t="n"/>
    </row>
    <row r="13" ht="15" customHeight="1" s="14">
      <c r="A13" s="25" t="inlineStr">
        <is>
          <t>행태정보</t>
        </is>
      </c>
      <c r="B13" s="25" t="inlineStr">
        <is>
          <t>제목+내용</t>
        </is>
      </c>
      <c r="C13" s="21" t="inlineStr">
        <is>
          <t>2020-08-05</t>
        </is>
      </c>
      <c r="D13" s="21" t="inlineStr">
        <is>
          <t>2026-09-30</t>
        </is>
      </c>
      <c r="E13" s="25" t="inlineStr">
        <is>
          <t>전체</t>
        </is>
      </c>
      <c r="F13" s="26" t="n"/>
      <c r="G13" s="26" t="n"/>
      <c r="H13" s="26" t="n"/>
      <c r="I13" s="26" t="n"/>
      <c r="J13" s="26" t="n"/>
      <c r="K13" s="26" t="n"/>
    </row>
    <row r="14" ht="15" customHeight="1" s="14">
      <c r="A14" s="25" t="inlineStr">
        <is>
          <t>민감정보</t>
        </is>
      </c>
      <c r="B14" s="25" t="inlineStr">
        <is>
          <t>제목+내용</t>
        </is>
      </c>
      <c r="C14" s="21" t="inlineStr">
        <is>
          <t>2020-08-05</t>
        </is>
      </c>
      <c r="D14" s="21" t="inlineStr">
        <is>
          <t>2026-09-30</t>
        </is>
      </c>
      <c r="E14" s="25" t="inlineStr">
        <is>
          <t>전체</t>
        </is>
      </c>
      <c r="F14" s="26" t="n"/>
      <c r="G14" s="26" t="n"/>
      <c r="H14" s="26" t="n"/>
      <c r="I14" s="26" t="n"/>
      <c r="J14" s="26" t="n"/>
      <c r="K14" s="26" t="n"/>
    </row>
    <row r="15" ht="15" customHeight="1" s="14">
      <c r="A15" s="25" t="inlineStr">
        <is>
          <t>프로파일</t>
        </is>
      </c>
      <c r="B15" s="25" t="inlineStr">
        <is>
          <t>제목+내용</t>
        </is>
      </c>
      <c r="C15" s="21" t="inlineStr">
        <is>
          <t>2020-08-05</t>
        </is>
      </c>
      <c r="D15" s="21" t="inlineStr">
        <is>
          <t>2026-09-30</t>
        </is>
      </c>
      <c r="E15" s="25" t="inlineStr">
        <is>
          <t>전체</t>
        </is>
      </c>
      <c r="F15" s="26" t="n"/>
      <c r="G15" s="26" t="n"/>
      <c r="H15" s="26" t="n"/>
      <c r="I15" s="26" t="n"/>
      <c r="J15" s="26" t="n"/>
      <c r="K15" s="26" t="n"/>
    </row>
    <row r="16" ht="15" customHeight="1" s="14">
      <c r="A16" s="25" t="inlineStr">
        <is>
          <t>자동화된 결정</t>
        </is>
      </c>
      <c r="B16" s="25" t="inlineStr">
        <is>
          <t>제목+내용</t>
        </is>
      </c>
      <c r="C16" s="21" t="inlineStr">
        <is>
          <t>2020-08-05</t>
        </is>
      </c>
      <c r="D16" s="21" t="inlineStr">
        <is>
          <t>2026-09-30</t>
        </is>
      </c>
      <c r="E16" s="25" t="inlineStr">
        <is>
          <t>전체</t>
        </is>
      </c>
      <c r="F16" s="26" t="n"/>
      <c r="G16" s="26" t="n"/>
      <c r="H16" s="26" t="n"/>
      <c r="I16" s="26" t="n"/>
      <c r="J16" s="26" t="n"/>
      <c r="K16" s="26" t="n"/>
    </row>
    <row r="17" ht="15" customHeight="1" s="14">
      <c r="A17" s="25" t="inlineStr">
        <is>
          <t>사전 실태점검</t>
        </is>
      </c>
      <c r="B17" s="25" t="inlineStr">
        <is>
          <t>제목+내용</t>
        </is>
      </c>
      <c r="C17" s="21" t="inlineStr">
        <is>
          <t>2020-08-05</t>
        </is>
      </c>
      <c r="D17" s="21" t="inlineStr">
        <is>
          <t>2026-09-30</t>
        </is>
      </c>
      <c r="E17" s="25" t="inlineStr">
        <is>
          <t>전체</t>
        </is>
      </c>
      <c r="F17" s="26" t="n"/>
      <c r="G17" s="26" t="n"/>
      <c r="H17" s="26" t="n"/>
      <c r="I17" s="26" t="n"/>
      <c r="J17" s="26" t="n"/>
      <c r="K17" s="26" t="n"/>
    </row>
    <row r="18" ht="15" customHeight="1" s="14">
      <c r="A18" s="25" t="inlineStr">
        <is>
          <t>사전적정성</t>
        </is>
      </c>
      <c r="B18" s="25" t="inlineStr">
        <is>
          <t>제목+내용</t>
        </is>
      </c>
      <c r="C18" s="21" t="inlineStr">
        <is>
          <t>2020-08-05</t>
        </is>
      </c>
      <c r="D18" s="21" t="inlineStr">
        <is>
          <t>2026-09-30</t>
        </is>
      </c>
      <c r="E18" s="25" t="inlineStr">
        <is>
          <t>전체</t>
        </is>
      </c>
      <c r="F18" s="26" t="n"/>
      <c r="G18" s="26" t="n"/>
      <c r="H18" s="26" t="n"/>
      <c r="I18" s="26" t="n"/>
      <c r="J18" s="26" t="n"/>
      <c r="K18" s="26" t="n"/>
    </row>
    <row r="19" ht="15" customHeight="1" s="14">
      <c r="A19" s="25" t="inlineStr">
        <is>
          <t>실증특례</t>
        </is>
      </c>
      <c r="B19" s="25" t="inlineStr">
        <is>
          <t>제목+내용</t>
        </is>
      </c>
      <c r="C19" s="21" t="inlineStr">
        <is>
          <t>2020-08-05</t>
        </is>
      </c>
      <c r="D19" s="21" t="inlineStr">
        <is>
          <t>2026-09-30</t>
        </is>
      </c>
      <c r="E19" s="25" t="inlineStr">
        <is>
          <t>전체</t>
        </is>
      </c>
      <c r="F19" s="26" t="n"/>
      <c r="G19" s="26" t="n"/>
      <c r="H19" s="26" t="n"/>
      <c r="I19" s="26" t="n"/>
      <c r="J19" s="26" t="n"/>
      <c r="K19" s="26" t="n"/>
    </row>
    <row r="20" ht="15" customHeight="1" s="14">
      <c r="A20" s="25" t="inlineStr">
        <is>
          <t>챗봇</t>
        </is>
      </c>
      <c r="B20" s="25" t="inlineStr">
        <is>
          <t>제목+내용</t>
        </is>
      </c>
      <c r="C20" s="21" t="inlineStr">
        <is>
          <t>2020-08-05</t>
        </is>
      </c>
      <c r="D20" s="21" t="inlineStr">
        <is>
          <t>2026-09-30</t>
        </is>
      </c>
      <c r="E20" s="25" t="inlineStr">
        <is>
          <t>전체</t>
        </is>
      </c>
      <c r="F20" s="26" t="n"/>
      <c r="G20" s="26" t="n"/>
      <c r="H20" s="26" t="n"/>
      <c r="I20" s="26" t="n"/>
      <c r="J20" s="26" t="n"/>
      <c r="K20" s="26" t="n"/>
    </row>
    <row r="21" ht="15" customHeight="1" s="14">
      <c r="A21" s="25" t="inlineStr">
        <is>
          <t>추론</t>
        </is>
      </c>
      <c r="B21" s="25" t="inlineStr">
        <is>
          <t>제목+내용</t>
        </is>
      </c>
      <c r="C21" s="21" t="inlineStr">
        <is>
          <t>2020-08-05</t>
        </is>
      </c>
      <c r="D21" s="21" t="inlineStr">
        <is>
          <t>2026-09-30</t>
        </is>
      </c>
      <c r="E21" s="25" t="inlineStr">
        <is>
          <t>전체</t>
        </is>
      </c>
      <c r="F21" s="26" t="n"/>
      <c r="G21" s="26" t="n"/>
      <c r="H21" s="26" t="n"/>
      <c r="I21" s="26" t="n"/>
      <c r="J21" s="26" t="n"/>
      <c r="K21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2026-10-02T16:42:42Z</dcterms:created>
  <dcterms:modified xmlns:dcterms="http://purl.org/dc/terms/" xmlns:xsi="http://www.w3.org/2001/XMLSchema-instance" xsi:type="dcterms:W3CDTF">2026-10-02T18:49:21Z</dcterms:modified>
  <cp:revision>0</cp:revision>
</cp:coreProperties>
</file>